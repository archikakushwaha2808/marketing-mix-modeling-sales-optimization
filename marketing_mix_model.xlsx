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rchikakushwaha/Downloads/Marketing Mix Model/"/>
    </mc:Choice>
  </mc:AlternateContent>
  <xr:revisionPtr revIDLastSave="0" documentId="13_ncr:1_{73E8A0DF-74EA-5A4E-82E5-52402219531F}" xr6:coauthVersionLast="47" xr6:coauthVersionMax="47" xr10:uidLastSave="{00000000-0000-0000-0000-000000000000}"/>
  <bookViews>
    <workbookView xWindow="0" yWindow="760" windowWidth="29000" windowHeight="16580" activeTab="4" xr2:uid="{B5DD6C55-85C1-BE4A-8205-FC883C273266}"/>
  </bookViews>
  <sheets>
    <sheet name="Advertising" sheetId="2" r:id="rId1"/>
    <sheet name="Descriptive_Statistics" sheetId="1" r:id="rId2"/>
    <sheet name="Correlation_Analysis" sheetId="3" r:id="rId3"/>
    <sheet name="ROI_Analysis" sheetId="4" r:id="rId4"/>
    <sheet name="Dashboard" sheetId="5" r:id="rId5"/>
  </sheets>
  <definedNames>
    <definedName name="ExternalData_1" localSheetId="0" hidden="1">Advertising!$A$1:$E$201</definedName>
  </definedName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B13" i="5"/>
  <c r="B12" i="5"/>
  <c r="B11" i="5"/>
  <c r="C2" i="5"/>
  <c r="B2" i="5"/>
  <c r="A2" i="5"/>
  <c r="C4" i="4"/>
  <c r="D4" i="4" s="1"/>
  <c r="B4" i="4"/>
  <c r="C3" i="4"/>
  <c r="D3" i="4" s="1"/>
  <c r="B3" i="4"/>
  <c r="C2" i="4"/>
  <c r="D2" i="4" s="1"/>
  <c r="B2" i="4"/>
  <c r="B4" i="3"/>
  <c r="B3" i="3"/>
  <c r="B2" i="3"/>
  <c r="D7" i="1"/>
  <c r="D6" i="1"/>
  <c r="D5" i="1"/>
  <c r="D4" i="1"/>
  <c r="D3" i="1"/>
  <c r="D2" i="1"/>
  <c r="C7" i="1"/>
  <c r="C8" i="1" s="1"/>
  <c r="C6" i="1"/>
  <c r="C5" i="1"/>
  <c r="C4" i="1"/>
  <c r="C3" i="1"/>
  <c r="C2" i="1"/>
  <c r="B7" i="1"/>
  <c r="B6" i="1"/>
  <c r="B5" i="1"/>
  <c r="B4" i="1"/>
  <c r="B3" i="1"/>
  <c r="B2" i="1"/>
  <c r="D8" i="1" l="1"/>
  <c r="B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0BC45C-1CE9-9642-8CEF-B8C8AE852106}" keepAlive="1" name="Query - Advertising" description="Connection to the 'Advertising' query in the workbook." type="5" refreshedVersion="8" background="1" saveData="1">
    <dbPr connection="Provider=Microsoft.Mashup.OleDb.1;Data Source=$Workbook$;Location=Advertising;Extended Properties=&quot;&quot;" command="SELECT * FROM [Advertising]"/>
  </connection>
</connections>
</file>

<file path=xl/sharedStrings.xml><?xml version="1.0" encoding="utf-8"?>
<sst xmlns="http://schemas.openxmlformats.org/spreadsheetml/2006/main" count="43" uniqueCount="28">
  <si>
    <t>TV</t>
  </si>
  <si>
    <t>Radio</t>
  </si>
  <si>
    <t>Newspaper</t>
  </si>
  <si>
    <t>Sales</t>
  </si>
  <si>
    <t>Ad_ID</t>
  </si>
  <si>
    <t>Metric</t>
  </si>
  <si>
    <t>Mean</t>
  </si>
  <si>
    <t>Median</t>
  </si>
  <si>
    <t>Std_Dev</t>
  </si>
  <si>
    <t>Variance</t>
  </si>
  <si>
    <t>Minimum</t>
  </si>
  <si>
    <t>Maximum</t>
  </si>
  <si>
    <t>Range</t>
  </si>
  <si>
    <t>Channel</t>
  </si>
  <si>
    <t>Correlation_with_Sales</t>
  </si>
  <si>
    <t>Total_Spend</t>
  </si>
  <si>
    <t>Total_Sales</t>
  </si>
  <si>
    <t>ROI</t>
  </si>
  <si>
    <t>Total Sales</t>
  </si>
  <si>
    <t>Average Sales</t>
  </si>
  <si>
    <t>Total  Marketing  Spend</t>
  </si>
  <si>
    <t>TV_Spend_Level</t>
  </si>
  <si>
    <t>Row Labels</t>
  </si>
  <si>
    <t>High</t>
  </si>
  <si>
    <t>Low</t>
  </si>
  <si>
    <t>Medium</t>
  </si>
  <si>
    <t>Grand Total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</si>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</sst>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ROI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8780487804878E-2"/>
          <c:y val="5.1689373297002725E-2"/>
          <c:w val="0.95528455284552849"/>
          <c:h val="0.822647771889549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ROI_Analysis!$D$1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ROI_Analysis!$A$2:$A$4</c:f>
              <c:strCache>
                <c:ptCount val="3"/>
                <c:pt idx="0">
                  <c:v>TV</c:v>
                </c:pt>
                <c:pt idx="1">
                  <c:v>Radio</c:v>
                </c:pt>
                <c:pt idx="2">
                  <c:v>Newspaper</c:v>
                </c:pt>
              </c:strCache>
            </c:strRef>
          </c:cat>
          <c:val>
            <c:numRef>
              <c:f>ROI_Analysis!$D$2:$D$4</c:f>
              <c:numCache>
                <c:formatCode>General</c:formatCode>
                <c:ptCount val="3"/>
                <c:pt idx="0">
                  <c:v>9.5363585357974762E-2</c:v>
                </c:pt>
                <c:pt idx="1">
                  <c:v>0.6027553301237959</c:v>
                </c:pt>
                <c:pt idx="2">
                  <c:v>0.45894154611507509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8-6C42-A8FE-9F5C7CE139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15884656"/>
        <c:axId val="1939324224"/>
      </c:barChart>
      <c:catAx>
        <c:axId val="16158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324224"/>
        <c:crosses val="autoZero"/>
        <c:auto val="1"/>
        <c:lblAlgn val="ctr"/>
        <c:lblOffset val="100"/>
        <c:noMultiLvlLbl val="0"/>
      </c:catAx>
      <c:valAx>
        <c:axId val="1939324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1588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Channel Correlation with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85870516185478E-2"/>
          <c:y val="0.15505796150481191"/>
          <c:w val="0.8964746281714786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Correlation_Analysis!$B$1</c:f>
              <c:strCache>
                <c:ptCount val="1"/>
                <c:pt idx="0">
                  <c:v>Correlation_with_Sales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Correlation_Analysis!$A$2:$A$4</c:f>
              <c:strCache>
                <c:ptCount val="3"/>
                <c:pt idx="0">
                  <c:v>TV</c:v>
                </c:pt>
                <c:pt idx="1">
                  <c:v>Radio</c:v>
                </c:pt>
                <c:pt idx="2">
                  <c:v>Newspaper</c:v>
                </c:pt>
              </c:strCache>
            </c:strRef>
          </c:cat>
          <c:val>
            <c:numRef>
              <c:f>Correlation_Analysis!$B$2:$B$4</c:f>
              <c:numCache>
                <c:formatCode>General</c:formatCode>
                <c:ptCount val="3"/>
                <c:pt idx="0">
                  <c:v>0.78222442486160615</c:v>
                </c:pt>
                <c:pt idx="1">
                  <c:v>0.5762225745710553</c:v>
                </c:pt>
                <c:pt idx="2">
                  <c:v>0.22829902637616525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6-264C-8E36-E56B6FBC5D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55899552"/>
        <c:axId val="2067664191"/>
      </c:barChart>
      <c:catAx>
        <c:axId val="16558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664191"/>
        <c:crosses val="autoZero"/>
        <c:auto val="1"/>
        <c:lblAlgn val="ctr"/>
        <c:lblOffset val="100"/>
        <c:noMultiLvlLbl val="0"/>
      </c:catAx>
      <c:valAx>
        <c:axId val="20676641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558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Marketing Mix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Total_Spend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6B-2043-9384-295E8BEA6B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6B-2043-9384-295E8BEA6B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6B-2043-9384-295E8BEA6B0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Dashboard!$A$11:$A$13</c:f>
              <c:strCache>
                <c:ptCount val="3"/>
                <c:pt idx="0">
                  <c:v>TV</c:v>
                </c:pt>
                <c:pt idx="1">
                  <c:v>Radio</c:v>
                </c:pt>
                <c:pt idx="2">
                  <c:v>Newspaper</c:v>
                </c:pt>
              </c:strCache>
            </c:strRef>
          </c:cat>
          <c:val>
            <c:numRef>
              <c:f>Dashboard!$B$11:$B$13</c:f>
              <c:numCache>
                <c:formatCode>General</c:formatCode>
                <c:ptCount val="3"/>
                <c:pt idx="0">
                  <c:v>29408.499999999996</c:v>
                </c:pt>
                <c:pt idx="1">
                  <c:v>4652.8000000000047</c:v>
                </c:pt>
                <c:pt idx="2">
                  <c:v>6110.7999999999993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C-4148-951E-531A3A66E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[marketing_mix_model.xlsx]Dashboard!PivotTable1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</a:t>
            </a:r>
            <a:r>
              <a:rPr lang="en-US" baseline="0"/>
              <a:t> Segmentation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2178477690288"/>
          <c:y val="0.11332191780821919"/>
          <c:w val="0.83328757425058708"/>
          <c:h val="0.793807302340632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Dashboard!$H$38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Dashboard!$G$39:$G$42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Dashboard!$H$39:$H$42</c:f>
              <c:numCache>
                <c:formatCode>General</c:formatCode>
                <c:ptCount val="3"/>
                <c:pt idx="0">
                  <c:v>18.394029850746271</c:v>
                </c:pt>
                <c:pt idx="1">
                  <c:v>9.2271428571428586</c:v>
                </c:pt>
                <c:pt idx="2">
                  <c:v>14.701587301587299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BC-0B43-81C3-4904D526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651648"/>
        <c:axId val="1394185168"/>
      </c:barChart>
      <c:catAx>
        <c:axId val="139465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85168"/>
        <c:crosses val="autoZero"/>
        <c:auto val="1"/>
        <c:lblAlgn val="ctr"/>
        <c:lblOffset val="100"/>
        <c:noMultiLvlLbl val="0"/>
      </c:catAx>
      <c:valAx>
        <c:axId val="139418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65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812800</xdr:colOff>
      <xdr:row>0</xdr:row>
      <xdr:rowOff>0</xdr:rowOff>
    </xdr:from>
    <xdr:to>
      <xdr:col>11</xdr:col>
      <xdr:colOff>0</xdr:colOff>
      <xdr:row>18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A96E31-A823-EB46-B545-0327C5434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812800</xdr:colOff>
      <xdr:row>0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BC7DC2-708D-C546-927B-1D63AEBC6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812800</xdr:colOff>
      <xdr:row>17</xdr:row>
      <xdr:rowOff>190500</xdr:rowOff>
    </xdr:from>
    <xdr:to>
      <xdr:col>10</xdr:col>
      <xdr:colOff>812800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C0EE0B-9012-31C1-C20A-639670E6C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18</xdr:row>
      <xdr:rowOff>12700</xdr:rowOff>
    </xdr:from>
    <xdr:to>
      <xdr:col>18</xdr:col>
      <xdr:colOff>0</xdr:colOff>
      <xdr:row>36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97C526-6B1B-D403-09C6-B6131B790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hika Kushwaha" refreshedDate="46077.960890856484" createdVersion="8" refreshedVersion="8" minRefreshableVersion="3" recordCount="201" xr:uid="{61C8CCE9-CCD7-3842-8901-5C0F32959E5E}">
  <cacheSource type="worksheet">
    <worksheetSource ref="A1:F1048576" sheet="Advertising"/>
  </cacheSource>
  <cacheFields count="6">
    <cacheField name="Ad_ID" numFmtId="0">
      <sharedItems containsString="0" containsBlank="1" containsNumber="1" containsInteger="1" minValue="1" maxValue="200"/>
    </cacheField>
    <cacheField name="TV" numFmtId="0">
      <sharedItems containsString="0" containsBlank="1" containsNumber="1" minValue="0.7" maxValue="296.39999999999998"/>
    </cacheField>
    <cacheField name="Radio" numFmtId="0">
      <sharedItems containsString="0" containsBlank="1" containsNumber="1" minValue="0" maxValue="49.6"/>
    </cacheField>
    <cacheField name="Newspaper" numFmtId="0">
      <sharedItems containsString="0" containsBlank="1" containsNumber="1" minValue="0.3" maxValue="114"/>
    </cacheField>
    <cacheField name="Sales" numFmtId="0">
      <sharedItems containsString="0" containsBlank="1" containsNumber="1" minValue="1.6" maxValue="27"/>
    </cacheField>
    <cacheField name="TV_Spend_Level" numFmtId="0">
      <sharedItems containsBlank="1" count="4">
        <s v="High"/>
        <s v="Low"/>
        <s v="Med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1"/>
    <n v="230.1"/>
    <n v="37.799999999999997"/>
    <n v="69.2"/>
    <n v="22.1"/>
    <x v="0"/>
  </r>
  <r>
    <n v="2"/>
    <n v="44.5"/>
    <n v="39.299999999999997"/>
    <n v="45.1"/>
    <n v="10.4"/>
    <x v="1"/>
  </r>
  <r>
    <n v="3"/>
    <n v="17.2"/>
    <n v="45.9"/>
    <n v="69.3"/>
    <n v="9.3000000000000007"/>
    <x v="1"/>
  </r>
  <r>
    <n v="4"/>
    <n v="151.5"/>
    <n v="41.3"/>
    <n v="58.5"/>
    <n v="18.5"/>
    <x v="2"/>
  </r>
  <r>
    <n v="5"/>
    <n v="180.8"/>
    <n v="10.8"/>
    <n v="58.4"/>
    <n v="12.9"/>
    <x v="2"/>
  </r>
  <r>
    <n v="6"/>
    <n v="8.6999999999999993"/>
    <n v="48.9"/>
    <n v="75"/>
    <n v="7.2"/>
    <x v="1"/>
  </r>
  <r>
    <n v="7"/>
    <n v="57.5"/>
    <n v="32.799999999999997"/>
    <n v="23.5"/>
    <n v="11.8"/>
    <x v="1"/>
  </r>
  <r>
    <n v="8"/>
    <n v="120.2"/>
    <n v="19.600000000000001"/>
    <n v="11.6"/>
    <n v="13.2"/>
    <x v="2"/>
  </r>
  <r>
    <n v="9"/>
    <n v="8.6"/>
    <n v="2.1"/>
    <n v="1"/>
    <n v="4.8"/>
    <x v="1"/>
  </r>
  <r>
    <n v="10"/>
    <n v="199.8"/>
    <n v="2.6"/>
    <n v="21.2"/>
    <n v="10.6"/>
    <x v="2"/>
  </r>
  <r>
    <n v="11"/>
    <n v="66.099999999999994"/>
    <n v="5.8"/>
    <n v="24.2"/>
    <n v="8.6"/>
    <x v="1"/>
  </r>
  <r>
    <n v="12"/>
    <n v="214.7"/>
    <n v="24"/>
    <n v="4"/>
    <n v="17.399999999999999"/>
    <x v="0"/>
  </r>
  <r>
    <n v="13"/>
    <n v="23.8"/>
    <n v="35.1"/>
    <n v="65.900000000000006"/>
    <n v="9.1999999999999993"/>
    <x v="1"/>
  </r>
  <r>
    <n v="14"/>
    <n v="97.5"/>
    <n v="7.6"/>
    <n v="7.2"/>
    <n v="9.6999999999999993"/>
    <x v="1"/>
  </r>
  <r>
    <n v="15"/>
    <n v="204.1"/>
    <n v="32.9"/>
    <n v="46"/>
    <n v="19"/>
    <x v="0"/>
  </r>
  <r>
    <n v="16"/>
    <n v="195.4"/>
    <n v="47.7"/>
    <n v="52.9"/>
    <n v="22.4"/>
    <x v="2"/>
  </r>
  <r>
    <n v="17"/>
    <n v="67.8"/>
    <n v="36.6"/>
    <n v="114"/>
    <n v="12.5"/>
    <x v="1"/>
  </r>
  <r>
    <n v="18"/>
    <n v="281.39999999999998"/>
    <n v="39.6"/>
    <n v="55.8"/>
    <n v="24.4"/>
    <x v="0"/>
  </r>
  <r>
    <n v="19"/>
    <n v="69.2"/>
    <n v="20.5"/>
    <n v="18.3"/>
    <n v="11.3"/>
    <x v="1"/>
  </r>
  <r>
    <n v="20"/>
    <n v="147.30000000000001"/>
    <n v="23.9"/>
    <n v="19.100000000000001"/>
    <n v="14.6"/>
    <x v="2"/>
  </r>
  <r>
    <n v="21"/>
    <n v="218.4"/>
    <n v="27.7"/>
    <n v="53.4"/>
    <n v="18"/>
    <x v="0"/>
  </r>
  <r>
    <n v="22"/>
    <n v="237.4"/>
    <n v="5.0999999999999996"/>
    <n v="23.5"/>
    <n v="12.5"/>
    <x v="0"/>
  </r>
  <r>
    <n v="23"/>
    <n v="13.2"/>
    <n v="15.9"/>
    <n v="49.6"/>
    <n v="5.6"/>
    <x v="1"/>
  </r>
  <r>
    <n v="24"/>
    <n v="228.3"/>
    <n v="16.899999999999999"/>
    <n v="26.2"/>
    <n v="15.5"/>
    <x v="0"/>
  </r>
  <r>
    <n v="25"/>
    <n v="62.3"/>
    <n v="12.6"/>
    <n v="18.3"/>
    <n v="9.6999999999999993"/>
    <x v="1"/>
  </r>
  <r>
    <n v="26"/>
    <n v="262.89999999999998"/>
    <n v="3.5"/>
    <n v="19.5"/>
    <n v="12"/>
    <x v="0"/>
  </r>
  <r>
    <n v="27"/>
    <n v="142.9"/>
    <n v="29.3"/>
    <n v="12.6"/>
    <n v="15"/>
    <x v="2"/>
  </r>
  <r>
    <n v="28"/>
    <n v="240.1"/>
    <n v="16.7"/>
    <n v="22.9"/>
    <n v="15.9"/>
    <x v="0"/>
  </r>
  <r>
    <n v="29"/>
    <n v="248.8"/>
    <n v="27.1"/>
    <n v="22.9"/>
    <n v="18.899999999999999"/>
    <x v="0"/>
  </r>
  <r>
    <n v="30"/>
    <n v="70.599999999999994"/>
    <n v="16"/>
    <n v="40.799999999999997"/>
    <n v="10.5"/>
    <x v="1"/>
  </r>
  <r>
    <n v="31"/>
    <n v="292.89999999999998"/>
    <n v="28.3"/>
    <n v="43.2"/>
    <n v="21.4"/>
    <x v="0"/>
  </r>
  <r>
    <n v="32"/>
    <n v="112.9"/>
    <n v="17.399999999999999"/>
    <n v="38.6"/>
    <n v="11.9"/>
    <x v="2"/>
  </r>
  <r>
    <n v="33"/>
    <n v="97.2"/>
    <n v="1.5"/>
    <n v="30"/>
    <n v="9.6"/>
    <x v="1"/>
  </r>
  <r>
    <n v="34"/>
    <n v="265.60000000000002"/>
    <n v="20"/>
    <n v="0.3"/>
    <n v="17.399999999999999"/>
    <x v="0"/>
  </r>
  <r>
    <n v="35"/>
    <n v="95.7"/>
    <n v="1.4"/>
    <n v="7.4"/>
    <n v="9.5"/>
    <x v="1"/>
  </r>
  <r>
    <n v="36"/>
    <n v="290.7"/>
    <n v="4.0999999999999996"/>
    <n v="8.5"/>
    <n v="12.8"/>
    <x v="0"/>
  </r>
  <r>
    <n v="37"/>
    <n v="266.89999999999998"/>
    <n v="43.8"/>
    <n v="5"/>
    <n v="25.4"/>
    <x v="0"/>
  </r>
  <r>
    <n v="38"/>
    <n v="74.7"/>
    <n v="49.4"/>
    <n v="45.7"/>
    <n v="14.7"/>
    <x v="1"/>
  </r>
  <r>
    <n v="39"/>
    <n v="43.1"/>
    <n v="26.7"/>
    <n v="35.1"/>
    <n v="10.1"/>
    <x v="1"/>
  </r>
  <r>
    <n v="40"/>
    <n v="228"/>
    <n v="37.700000000000003"/>
    <n v="32"/>
    <n v="21.5"/>
    <x v="0"/>
  </r>
  <r>
    <n v="41"/>
    <n v="202.5"/>
    <n v="22.3"/>
    <n v="31.6"/>
    <n v="16.600000000000001"/>
    <x v="0"/>
  </r>
  <r>
    <n v="42"/>
    <n v="177"/>
    <n v="33.4"/>
    <n v="38.700000000000003"/>
    <n v="17.100000000000001"/>
    <x v="2"/>
  </r>
  <r>
    <n v="43"/>
    <n v="293.60000000000002"/>
    <n v="27.7"/>
    <n v="1.8"/>
    <n v="20.7"/>
    <x v="0"/>
  </r>
  <r>
    <n v="44"/>
    <n v="206.9"/>
    <n v="8.4"/>
    <n v="26.4"/>
    <n v="12.9"/>
    <x v="0"/>
  </r>
  <r>
    <n v="45"/>
    <n v="25.1"/>
    <n v="25.7"/>
    <n v="43.3"/>
    <n v="8.5"/>
    <x v="1"/>
  </r>
  <r>
    <n v="46"/>
    <n v="175.1"/>
    <n v="22.5"/>
    <n v="31.5"/>
    <n v="14.9"/>
    <x v="2"/>
  </r>
  <r>
    <n v="47"/>
    <n v="89.7"/>
    <n v="9.9"/>
    <n v="35.700000000000003"/>
    <n v="10.6"/>
    <x v="1"/>
  </r>
  <r>
    <n v="48"/>
    <n v="239.9"/>
    <n v="41.5"/>
    <n v="18.5"/>
    <n v="23.2"/>
    <x v="0"/>
  </r>
  <r>
    <n v="49"/>
    <n v="227.2"/>
    <n v="15.8"/>
    <n v="49.9"/>
    <n v="14.8"/>
    <x v="0"/>
  </r>
  <r>
    <n v="50"/>
    <n v="66.900000000000006"/>
    <n v="11.7"/>
    <n v="36.799999999999997"/>
    <n v="9.6999999999999993"/>
    <x v="1"/>
  </r>
  <r>
    <n v="51"/>
    <n v="199.8"/>
    <n v="3.1"/>
    <n v="34.6"/>
    <n v="11.4"/>
    <x v="2"/>
  </r>
  <r>
    <n v="52"/>
    <n v="100.4"/>
    <n v="9.6"/>
    <n v="3.6"/>
    <n v="10.7"/>
    <x v="2"/>
  </r>
  <r>
    <n v="53"/>
    <n v="216.4"/>
    <n v="41.7"/>
    <n v="39.6"/>
    <n v="22.6"/>
    <x v="0"/>
  </r>
  <r>
    <n v="54"/>
    <n v="182.6"/>
    <n v="46.2"/>
    <n v="58.7"/>
    <n v="21.2"/>
    <x v="2"/>
  </r>
  <r>
    <n v="55"/>
    <n v="262.7"/>
    <n v="28.8"/>
    <n v="15.9"/>
    <n v="20.2"/>
    <x v="0"/>
  </r>
  <r>
    <n v="56"/>
    <n v="198.9"/>
    <n v="49.4"/>
    <n v="60"/>
    <n v="23.7"/>
    <x v="2"/>
  </r>
  <r>
    <n v="57"/>
    <n v="7.3"/>
    <n v="28.1"/>
    <n v="41.4"/>
    <n v="5.5"/>
    <x v="1"/>
  </r>
  <r>
    <n v="58"/>
    <n v="136.19999999999999"/>
    <n v="19.2"/>
    <n v="16.600000000000001"/>
    <n v="13.2"/>
    <x v="2"/>
  </r>
  <r>
    <n v="59"/>
    <n v="210.8"/>
    <n v="49.6"/>
    <n v="37.700000000000003"/>
    <n v="23.8"/>
    <x v="0"/>
  </r>
  <r>
    <n v="60"/>
    <n v="210.7"/>
    <n v="29.5"/>
    <n v="9.3000000000000007"/>
    <n v="18.399999999999999"/>
    <x v="0"/>
  </r>
  <r>
    <n v="61"/>
    <n v="53.5"/>
    <n v="2"/>
    <n v="21.4"/>
    <n v="8.1"/>
    <x v="1"/>
  </r>
  <r>
    <n v="62"/>
    <n v="261.3"/>
    <n v="42.7"/>
    <n v="54.7"/>
    <n v="24.2"/>
    <x v="0"/>
  </r>
  <r>
    <n v="63"/>
    <n v="239.3"/>
    <n v="15.5"/>
    <n v="27.3"/>
    <n v="15.7"/>
    <x v="0"/>
  </r>
  <r>
    <n v="64"/>
    <n v="102.7"/>
    <n v="29.6"/>
    <n v="8.4"/>
    <n v="14"/>
    <x v="2"/>
  </r>
  <r>
    <n v="65"/>
    <n v="131.1"/>
    <n v="42.8"/>
    <n v="28.9"/>
    <n v="18"/>
    <x v="2"/>
  </r>
  <r>
    <n v="66"/>
    <n v="69"/>
    <n v="9.3000000000000007"/>
    <n v="0.9"/>
    <n v="9.3000000000000007"/>
    <x v="1"/>
  </r>
  <r>
    <n v="67"/>
    <n v="31.5"/>
    <n v="24.6"/>
    <n v="2.2000000000000002"/>
    <n v="9.5"/>
    <x v="1"/>
  </r>
  <r>
    <n v="68"/>
    <n v="139.30000000000001"/>
    <n v="14.5"/>
    <n v="10.199999999999999"/>
    <n v="13.4"/>
    <x v="2"/>
  </r>
  <r>
    <n v="69"/>
    <n v="237.4"/>
    <n v="27.5"/>
    <n v="11"/>
    <n v="18.899999999999999"/>
    <x v="0"/>
  </r>
  <r>
    <n v="70"/>
    <n v="216.8"/>
    <n v="43.9"/>
    <n v="27.2"/>
    <n v="22.3"/>
    <x v="0"/>
  </r>
  <r>
    <n v="71"/>
    <n v="199.1"/>
    <n v="30.6"/>
    <n v="38.700000000000003"/>
    <n v="18.3"/>
    <x v="2"/>
  </r>
  <r>
    <n v="72"/>
    <n v="109.8"/>
    <n v="14.3"/>
    <n v="31.7"/>
    <n v="12.4"/>
    <x v="2"/>
  </r>
  <r>
    <n v="73"/>
    <n v="26.8"/>
    <n v="33"/>
    <n v="19.3"/>
    <n v="8.8000000000000007"/>
    <x v="1"/>
  </r>
  <r>
    <n v="74"/>
    <n v="129.4"/>
    <n v="5.7"/>
    <n v="31.3"/>
    <n v="11"/>
    <x v="2"/>
  </r>
  <r>
    <n v="75"/>
    <n v="213.4"/>
    <n v="24.6"/>
    <n v="13.1"/>
    <n v="17"/>
    <x v="0"/>
  </r>
  <r>
    <n v="76"/>
    <n v="16.899999999999999"/>
    <n v="43.7"/>
    <n v="89.4"/>
    <n v="8.6999999999999993"/>
    <x v="1"/>
  </r>
  <r>
    <n v="77"/>
    <n v="27.5"/>
    <n v="1.6"/>
    <n v="20.7"/>
    <n v="6.9"/>
    <x v="1"/>
  </r>
  <r>
    <n v="78"/>
    <n v="120.5"/>
    <n v="28.5"/>
    <n v="14.2"/>
    <n v="14.2"/>
    <x v="2"/>
  </r>
  <r>
    <n v="79"/>
    <n v="5.4"/>
    <n v="29.9"/>
    <n v="9.4"/>
    <n v="5.3"/>
    <x v="1"/>
  </r>
  <r>
    <n v="80"/>
    <n v="116"/>
    <n v="7.7"/>
    <n v="23.1"/>
    <n v="11"/>
    <x v="2"/>
  </r>
  <r>
    <n v="81"/>
    <n v="76.400000000000006"/>
    <n v="26.7"/>
    <n v="22.3"/>
    <n v="11.8"/>
    <x v="1"/>
  </r>
  <r>
    <n v="82"/>
    <n v="239.8"/>
    <n v="4.0999999999999996"/>
    <n v="36.9"/>
    <n v="12.3"/>
    <x v="0"/>
  </r>
  <r>
    <n v="83"/>
    <n v="75.3"/>
    <n v="20.3"/>
    <n v="32.5"/>
    <n v="11.3"/>
    <x v="1"/>
  </r>
  <r>
    <n v="84"/>
    <n v="68.400000000000006"/>
    <n v="44.5"/>
    <n v="35.6"/>
    <n v="13.6"/>
    <x v="1"/>
  </r>
  <r>
    <n v="85"/>
    <n v="213.5"/>
    <n v="43"/>
    <n v="33.799999999999997"/>
    <n v="21.7"/>
    <x v="0"/>
  </r>
  <r>
    <n v="86"/>
    <n v="193.2"/>
    <n v="18.399999999999999"/>
    <n v="65.7"/>
    <n v="15.2"/>
    <x v="2"/>
  </r>
  <r>
    <n v="87"/>
    <n v="76.3"/>
    <n v="27.5"/>
    <n v="16"/>
    <n v="12"/>
    <x v="1"/>
  </r>
  <r>
    <n v="88"/>
    <n v="110.7"/>
    <n v="40.6"/>
    <n v="63.2"/>
    <n v="16"/>
    <x v="2"/>
  </r>
  <r>
    <n v="89"/>
    <n v="88.3"/>
    <n v="25.5"/>
    <n v="73.400000000000006"/>
    <n v="12.9"/>
    <x v="1"/>
  </r>
  <r>
    <n v="90"/>
    <n v="109.8"/>
    <n v="47.8"/>
    <n v="51.4"/>
    <n v="16.7"/>
    <x v="2"/>
  </r>
  <r>
    <n v="91"/>
    <n v="134.30000000000001"/>
    <n v="4.9000000000000004"/>
    <n v="9.3000000000000007"/>
    <n v="11.2"/>
    <x v="2"/>
  </r>
  <r>
    <n v="92"/>
    <n v="28.6"/>
    <n v="1.5"/>
    <n v="33"/>
    <n v="7.3"/>
    <x v="1"/>
  </r>
  <r>
    <n v="93"/>
    <n v="217.7"/>
    <n v="33.5"/>
    <n v="59"/>
    <n v="19.399999999999999"/>
    <x v="0"/>
  </r>
  <r>
    <n v="94"/>
    <n v="250.9"/>
    <n v="36.5"/>
    <n v="72.3"/>
    <n v="22.2"/>
    <x v="0"/>
  </r>
  <r>
    <n v="95"/>
    <n v="107.4"/>
    <n v="14"/>
    <n v="10.9"/>
    <n v="11.5"/>
    <x v="2"/>
  </r>
  <r>
    <n v="96"/>
    <n v="163.30000000000001"/>
    <n v="31.6"/>
    <n v="52.9"/>
    <n v="16.899999999999999"/>
    <x v="2"/>
  </r>
  <r>
    <n v="97"/>
    <n v="197.6"/>
    <n v="3.5"/>
    <n v="5.9"/>
    <n v="11.7"/>
    <x v="2"/>
  </r>
  <r>
    <n v="98"/>
    <n v="184.9"/>
    <n v="21"/>
    <n v="22"/>
    <n v="15.5"/>
    <x v="2"/>
  </r>
  <r>
    <n v="99"/>
    <n v="289.7"/>
    <n v="42.3"/>
    <n v="51.2"/>
    <n v="25.4"/>
    <x v="0"/>
  </r>
  <r>
    <n v="100"/>
    <n v="135.19999999999999"/>
    <n v="41.7"/>
    <n v="45.9"/>
    <n v="17.2"/>
    <x v="2"/>
  </r>
  <r>
    <n v="101"/>
    <n v="222.4"/>
    <n v="4.3"/>
    <n v="49.8"/>
    <n v="11.7"/>
    <x v="0"/>
  </r>
  <r>
    <n v="102"/>
    <n v="296.39999999999998"/>
    <n v="36.299999999999997"/>
    <n v="100.9"/>
    <n v="23.8"/>
    <x v="0"/>
  </r>
  <r>
    <n v="103"/>
    <n v="280.2"/>
    <n v="10.1"/>
    <n v="21.4"/>
    <n v="14.8"/>
    <x v="0"/>
  </r>
  <r>
    <n v="104"/>
    <n v="187.9"/>
    <n v="17.2"/>
    <n v="17.899999999999999"/>
    <n v="14.7"/>
    <x v="2"/>
  </r>
  <r>
    <n v="105"/>
    <n v="238.2"/>
    <n v="34.299999999999997"/>
    <n v="5.3"/>
    <n v="20.7"/>
    <x v="0"/>
  </r>
  <r>
    <n v="106"/>
    <n v="137.9"/>
    <n v="46.4"/>
    <n v="59"/>
    <n v="19.2"/>
    <x v="2"/>
  </r>
  <r>
    <n v="107"/>
    <n v="25"/>
    <n v="11"/>
    <n v="29.7"/>
    <n v="7.2"/>
    <x v="1"/>
  </r>
  <r>
    <n v="108"/>
    <n v="90.4"/>
    <n v="0.3"/>
    <n v="23.2"/>
    <n v="8.6999999999999993"/>
    <x v="1"/>
  </r>
  <r>
    <n v="109"/>
    <n v="13.1"/>
    <n v="0.4"/>
    <n v="25.6"/>
    <n v="5.3"/>
    <x v="1"/>
  </r>
  <r>
    <n v="110"/>
    <n v="255.4"/>
    <n v="26.9"/>
    <n v="5.5"/>
    <n v="19.8"/>
    <x v="0"/>
  </r>
  <r>
    <n v="111"/>
    <n v="225.8"/>
    <n v="8.1999999999999993"/>
    <n v="56.5"/>
    <n v="13.4"/>
    <x v="0"/>
  </r>
  <r>
    <n v="112"/>
    <n v="241.7"/>
    <n v="38"/>
    <n v="23.2"/>
    <n v="21.8"/>
    <x v="0"/>
  </r>
  <r>
    <n v="113"/>
    <n v="175.7"/>
    <n v="15.4"/>
    <n v="2.4"/>
    <n v="14.1"/>
    <x v="2"/>
  </r>
  <r>
    <n v="114"/>
    <n v="209.6"/>
    <n v="20.6"/>
    <n v="10.7"/>
    <n v="15.9"/>
    <x v="0"/>
  </r>
  <r>
    <n v="115"/>
    <n v="78.2"/>
    <n v="46.8"/>
    <n v="34.5"/>
    <n v="14.6"/>
    <x v="1"/>
  </r>
  <r>
    <n v="116"/>
    <n v="75.099999999999994"/>
    <n v="35"/>
    <n v="52.7"/>
    <n v="12.6"/>
    <x v="1"/>
  </r>
  <r>
    <n v="117"/>
    <n v="139.19999999999999"/>
    <n v="14.3"/>
    <n v="25.6"/>
    <n v="12.2"/>
    <x v="2"/>
  </r>
  <r>
    <n v="118"/>
    <n v="76.400000000000006"/>
    <n v="0.8"/>
    <n v="14.8"/>
    <n v="9.4"/>
    <x v="1"/>
  </r>
  <r>
    <n v="119"/>
    <n v="125.7"/>
    <n v="36.9"/>
    <n v="79.2"/>
    <n v="15.9"/>
    <x v="2"/>
  </r>
  <r>
    <n v="120"/>
    <n v="19.399999999999999"/>
    <n v="16"/>
    <n v="22.3"/>
    <n v="6.6"/>
    <x v="1"/>
  </r>
  <r>
    <n v="121"/>
    <n v="141.30000000000001"/>
    <n v="26.8"/>
    <n v="46.2"/>
    <n v="15.5"/>
    <x v="2"/>
  </r>
  <r>
    <n v="122"/>
    <n v="18.8"/>
    <n v="21.7"/>
    <n v="50.4"/>
    <n v="7"/>
    <x v="1"/>
  </r>
  <r>
    <n v="123"/>
    <n v="224"/>
    <n v="2.4"/>
    <n v="15.6"/>
    <n v="11.6"/>
    <x v="0"/>
  </r>
  <r>
    <n v="124"/>
    <n v="123.1"/>
    <n v="34.6"/>
    <n v="12.4"/>
    <n v="15.2"/>
    <x v="2"/>
  </r>
  <r>
    <n v="125"/>
    <n v="229.5"/>
    <n v="32.299999999999997"/>
    <n v="74.2"/>
    <n v="19.7"/>
    <x v="0"/>
  </r>
  <r>
    <n v="126"/>
    <n v="87.2"/>
    <n v="11.8"/>
    <n v="25.9"/>
    <n v="10.6"/>
    <x v="1"/>
  </r>
  <r>
    <n v="127"/>
    <n v="7.8"/>
    <n v="38.9"/>
    <n v="50.6"/>
    <n v="6.6"/>
    <x v="1"/>
  </r>
  <r>
    <n v="128"/>
    <n v="80.2"/>
    <n v="0"/>
    <n v="9.1999999999999993"/>
    <n v="8.8000000000000007"/>
    <x v="1"/>
  </r>
  <r>
    <n v="129"/>
    <n v="220.3"/>
    <n v="49"/>
    <n v="3.2"/>
    <n v="24.7"/>
    <x v="0"/>
  </r>
  <r>
    <n v="130"/>
    <n v="59.6"/>
    <n v="12"/>
    <n v="43.1"/>
    <n v="9.6999999999999993"/>
    <x v="1"/>
  </r>
  <r>
    <n v="131"/>
    <n v="0.7"/>
    <n v="39.6"/>
    <n v="8.6999999999999993"/>
    <n v="1.6"/>
    <x v="1"/>
  </r>
  <r>
    <n v="132"/>
    <n v="265.2"/>
    <n v="2.9"/>
    <n v="43"/>
    <n v="12.7"/>
    <x v="0"/>
  </r>
  <r>
    <n v="133"/>
    <n v="8.4"/>
    <n v="27.2"/>
    <n v="2.1"/>
    <n v="5.7"/>
    <x v="1"/>
  </r>
  <r>
    <n v="134"/>
    <n v="219.8"/>
    <n v="33.5"/>
    <n v="45.1"/>
    <n v="19.600000000000001"/>
    <x v="0"/>
  </r>
  <r>
    <n v="135"/>
    <n v="36.9"/>
    <n v="38.6"/>
    <n v="65.599999999999994"/>
    <n v="10.8"/>
    <x v="1"/>
  </r>
  <r>
    <n v="136"/>
    <n v="48.3"/>
    <n v="47"/>
    <n v="8.5"/>
    <n v="11.6"/>
    <x v="1"/>
  </r>
  <r>
    <n v="137"/>
    <n v="25.6"/>
    <n v="39"/>
    <n v="9.3000000000000007"/>
    <n v="9.5"/>
    <x v="1"/>
  </r>
  <r>
    <n v="138"/>
    <n v="273.7"/>
    <n v="28.9"/>
    <n v="59.7"/>
    <n v="20.8"/>
    <x v="0"/>
  </r>
  <r>
    <n v="139"/>
    <n v="43"/>
    <n v="25.9"/>
    <n v="20.5"/>
    <n v="9.6"/>
    <x v="1"/>
  </r>
  <r>
    <n v="140"/>
    <n v="184.9"/>
    <n v="43.9"/>
    <n v="1.7"/>
    <n v="20.7"/>
    <x v="2"/>
  </r>
  <r>
    <n v="141"/>
    <n v="73.400000000000006"/>
    <n v="17"/>
    <n v="12.9"/>
    <n v="10.9"/>
    <x v="1"/>
  </r>
  <r>
    <n v="142"/>
    <n v="193.7"/>
    <n v="35.4"/>
    <n v="75.599999999999994"/>
    <n v="19.2"/>
    <x v="2"/>
  </r>
  <r>
    <n v="143"/>
    <n v="220.5"/>
    <n v="33.200000000000003"/>
    <n v="37.9"/>
    <n v="20.100000000000001"/>
    <x v="0"/>
  </r>
  <r>
    <n v="144"/>
    <n v="104.6"/>
    <n v="5.7"/>
    <n v="34.4"/>
    <n v="10.4"/>
    <x v="2"/>
  </r>
  <r>
    <n v="145"/>
    <n v="96.2"/>
    <n v="14.8"/>
    <n v="38.9"/>
    <n v="11.4"/>
    <x v="1"/>
  </r>
  <r>
    <n v="146"/>
    <n v="140.30000000000001"/>
    <n v="1.9"/>
    <n v="9"/>
    <n v="10.3"/>
    <x v="2"/>
  </r>
  <r>
    <n v="147"/>
    <n v="240.1"/>
    <n v="7.3"/>
    <n v="8.6999999999999993"/>
    <n v="13.2"/>
    <x v="0"/>
  </r>
  <r>
    <n v="148"/>
    <n v="243.2"/>
    <n v="49"/>
    <n v="44.3"/>
    <n v="25.4"/>
    <x v="0"/>
  </r>
  <r>
    <n v="149"/>
    <n v="38"/>
    <n v="40.299999999999997"/>
    <n v="11.9"/>
    <n v="10.9"/>
    <x v="1"/>
  </r>
  <r>
    <n v="150"/>
    <n v="44.7"/>
    <n v="25.8"/>
    <n v="20.6"/>
    <n v="10.1"/>
    <x v="1"/>
  </r>
  <r>
    <n v="151"/>
    <n v="280.7"/>
    <n v="13.9"/>
    <n v="37"/>
    <n v="16.100000000000001"/>
    <x v="0"/>
  </r>
  <r>
    <n v="152"/>
    <n v="121"/>
    <n v="8.4"/>
    <n v="48.7"/>
    <n v="11.6"/>
    <x v="2"/>
  </r>
  <r>
    <n v="153"/>
    <n v="197.6"/>
    <n v="23.3"/>
    <n v="14.2"/>
    <n v="16.600000000000001"/>
    <x v="2"/>
  </r>
  <r>
    <n v="154"/>
    <n v="171.3"/>
    <n v="39.700000000000003"/>
    <n v="37.700000000000003"/>
    <n v="19"/>
    <x v="2"/>
  </r>
  <r>
    <n v="155"/>
    <n v="187.8"/>
    <n v="21.1"/>
    <n v="9.5"/>
    <n v="15.6"/>
    <x v="2"/>
  </r>
  <r>
    <n v="156"/>
    <n v="4.0999999999999996"/>
    <n v="11.6"/>
    <n v="5.7"/>
    <n v="3.2"/>
    <x v="1"/>
  </r>
  <r>
    <n v="157"/>
    <n v="93.9"/>
    <n v="43.5"/>
    <n v="50.5"/>
    <n v="15.3"/>
    <x v="1"/>
  </r>
  <r>
    <n v="158"/>
    <n v="149.80000000000001"/>
    <n v="1.3"/>
    <n v="24.3"/>
    <n v="10.1"/>
    <x v="2"/>
  </r>
  <r>
    <n v="159"/>
    <n v="11.7"/>
    <n v="36.9"/>
    <n v="45.2"/>
    <n v="7.3"/>
    <x v="1"/>
  </r>
  <r>
    <n v="160"/>
    <n v="131.69999999999999"/>
    <n v="18.399999999999999"/>
    <n v="34.6"/>
    <n v="12.9"/>
    <x v="2"/>
  </r>
  <r>
    <n v="161"/>
    <n v="172.5"/>
    <n v="18.100000000000001"/>
    <n v="30.7"/>
    <n v="14.4"/>
    <x v="2"/>
  </r>
  <r>
    <n v="162"/>
    <n v="85.7"/>
    <n v="35.799999999999997"/>
    <n v="49.3"/>
    <n v="13.3"/>
    <x v="1"/>
  </r>
  <r>
    <n v="163"/>
    <n v="188.4"/>
    <n v="18.100000000000001"/>
    <n v="25.6"/>
    <n v="14.9"/>
    <x v="2"/>
  </r>
  <r>
    <n v="164"/>
    <n v="163.5"/>
    <n v="36.799999999999997"/>
    <n v="7.4"/>
    <n v="18"/>
    <x v="2"/>
  </r>
  <r>
    <n v="165"/>
    <n v="117.2"/>
    <n v="14.7"/>
    <n v="5.4"/>
    <n v="11.9"/>
    <x v="2"/>
  </r>
  <r>
    <n v="166"/>
    <n v="234.5"/>
    <n v="3.4"/>
    <n v="84.8"/>
    <n v="11.9"/>
    <x v="0"/>
  </r>
  <r>
    <n v="167"/>
    <n v="17.899999999999999"/>
    <n v="37.6"/>
    <n v="21.6"/>
    <n v="8"/>
    <x v="1"/>
  </r>
  <r>
    <n v="168"/>
    <n v="206.8"/>
    <n v="5.2"/>
    <n v="19.399999999999999"/>
    <n v="12.2"/>
    <x v="0"/>
  </r>
  <r>
    <n v="169"/>
    <n v="215.4"/>
    <n v="23.6"/>
    <n v="57.6"/>
    <n v="17.100000000000001"/>
    <x v="0"/>
  </r>
  <r>
    <n v="170"/>
    <n v="284.3"/>
    <n v="10.6"/>
    <n v="6.4"/>
    <n v="15"/>
    <x v="0"/>
  </r>
  <r>
    <n v="171"/>
    <n v="50"/>
    <n v="11.6"/>
    <n v="18.399999999999999"/>
    <n v="8.4"/>
    <x v="1"/>
  </r>
  <r>
    <n v="172"/>
    <n v="164.5"/>
    <n v="20.9"/>
    <n v="47.4"/>
    <n v="14.5"/>
    <x v="2"/>
  </r>
  <r>
    <n v="173"/>
    <n v="19.600000000000001"/>
    <n v="20.100000000000001"/>
    <n v="17"/>
    <n v="7.6"/>
    <x v="1"/>
  </r>
  <r>
    <n v="174"/>
    <n v="168.4"/>
    <n v="7.1"/>
    <n v="12.8"/>
    <n v="11.7"/>
    <x v="2"/>
  </r>
  <r>
    <n v="175"/>
    <n v="222.4"/>
    <n v="3.4"/>
    <n v="13.1"/>
    <n v="11.5"/>
    <x v="0"/>
  </r>
  <r>
    <n v="176"/>
    <n v="276.89999999999998"/>
    <n v="48.9"/>
    <n v="41.8"/>
    <n v="27"/>
    <x v="0"/>
  </r>
  <r>
    <n v="177"/>
    <n v="248.4"/>
    <n v="30.2"/>
    <n v="20.3"/>
    <n v="20.2"/>
    <x v="0"/>
  </r>
  <r>
    <n v="178"/>
    <n v="170.2"/>
    <n v="7.8"/>
    <n v="35.200000000000003"/>
    <n v="11.7"/>
    <x v="2"/>
  </r>
  <r>
    <n v="179"/>
    <n v="276.7"/>
    <n v="2.2999999999999998"/>
    <n v="23.7"/>
    <n v="11.8"/>
    <x v="0"/>
  </r>
  <r>
    <n v="180"/>
    <n v="165.6"/>
    <n v="10"/>
    <n v="17.600000000000001"/>
    <n v="12.6"/>
    <x v="2"/>
  </r>
  <r>
    <n v="181"/>
    <n v="156.6"/>
    <n v="2.6"/>
    <n v="8.3000000000000007"/>
    <n v="10.5"/>
    <x v="2"/>
  </r>
  <r>
    <n v="182"/>
    <n v="218.5"/>
    <n v="5.4"/>
    <n v="27.4"/>
    <n v="12.2"/>
    <x v="0"/>
  </r>
  <r>
    <n v="183"/>
    <n v="56.2"/>
    <n v="5.7"/>
    <n v="29.7"/>
    <n v="8.6999999999999993"/>
    <x v="1"/>
  </r>
  <r>
    <n v="184"/>
    <n v="287.60000000000002"/>
    <n v="43"/>
    <n v="71.8"/>
    <n v="26.2"/>
    <x v="0"/>
  </r>
  <r>
    <n v="185"/>
    <n v="253.8"/>
    <n v="21.3"/>
    <n v="30"/>
    <n v="17.600000000000001"/>
    <x v="0"/>
  </r>
  <r>
    <n v="186"/>
    <n v="205"/>
    <n v="45.1"/>
    <n v="19.600000000000001"/>
    <n v="22.6"/>
    <x v="0"/>
  </r>
  <r>
    <n v="187"/>
    <n v="139.5"/>
    <n v="2.1"/>
    <n v="26.6"/>
    <n v="10.3"/>
    <x v="2"/>
  </r>
  <r>
    <n v="188"/>
    <n v="191.1"/>
    <n v="28.7"/>
    <n v="18.2"/>
    <n v="17.3"/>
    <x v="2"/>
  </r>
  <r>
    <n v="189"/>
    <n v="286"/>
    <n v="13.9"/>
    <n v="3.7"/>
    <n v="15.9"/>
    <x v="0"/>
  </r>
  <r>
    <n v="190"/>
    <n v="18.7"/>
    <n v="12.1"/>
    <n v="23.4"/>
    <n v="6.7"/>
    <x v="1"/>
  </r>
  <r>
    <n v="191"/>
    <n v="39.5"/>
    <n v="41.1"/>
    <n v="5.8"/>
    <n v="10.8"/>
    <x v="1"/>
  </r>
  <r>
    <n v="192"/>
    <n v="75.5"/>
    <n v="10.8"/>
    <n v="6"/>
    <n v="9.9"/>
    <x v="1"/>
  </r>
  <r>
    <n v="193"/>
    <n v="17.2"/>
    <n v="4.0999999999999996"/>
    <n v="31.6"/>
    <n v="5.9"/>
    <x v="1"/>
  </r>
  <r>
    <n v="194"/>
    <n v="166.8"/>
    <n v="42"/>
    <n v="3.6"/>
    <n v="19.600000000000001"/>
    <x v="2"/>
  </r>
  <r>
    <n v="195"/>
    <n v="149.69999999999999"/>
    <n v="35.6"/>
    <n v="6"/>
    <n v="17.3"/>
    <x v="2"/>
  </r>
  <r>
    <n v="196"/>
    <n v="38.200000000000003"/>
    <n v="3.7"/>
    <n v="13.8"/>
    <n v="7.6"/>
    <x v="1"/>
  </r>
  <r>
    <n v="197"/>
    <n v="94.2"/>
    <n v="4.9000000000000004"/>
    <n v="8.1"/>
    <n v="9.6999999999999993"/>
    <x v="1"/>
  </r>
  <r>
    <n v="198"/>
    <n v="177"/>
    <n v="9.3000000000000007"/>
    <n v="6.4"/>
    <n v="12.8"/>
    <x v="2"/>
  </r>
  <r>
    <n v="199"/>
    <n v="283.60000000000002"/>
    <n v="42"/>
    <n v="66.2"/>
    <n v="25.5"/>
    <x v="0"/>
  </r>
  <r>
    <n v="200"/>
    <n v="232.1"/>
    <n v="8.6"/>
    <n v="8.6999999999999993"/>
    <n v="13.4"/>
    <x v="0"/>
  </r>
  <r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6410F-A0AC-7D43-B738-5D9E4EF5C9A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38:H42" firstHeaderRow="1" firstDataRow="1" firstDataCol="1"/>
  <pivotFields count="6">
    <pivotField showAll="0"/>
    <pivotField showAll="0"/>
    <pivotField showAll="0"/>
    <pivotField showAll="0"/>
    <pivotField dataField="1" showAll="0"/>
    <pivotField axis="axisRow" showAll="0">
      <items count="5">
        <item x="0"/>
        <item x="1"/>
        <item x="2"/>
        <item h="1"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E9A139-21FE-DB4E-AD64-4506511047CE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TV" tableColumnId="2"/>
      <queryTableField id="3" name="Radio" tableColumnId="3"/>
      <queryTableField id="4" name="Newspaper" tableColumnId="4"/>
      <queryTableField id="5" name="Sales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68557-761B-5A46-8EE0-4D4DD410CEC2}" name="Advertising" displayName="Advertising" ref="A1:F201" tableType="queryTable" totalsRowShown="0" headerRowDxfId="7" dataDxfId="6">
  <autoFilter ref="A1:F201" xr:uid="{F9768557-761B-5A46-8EE0-4D4DD410CEC2}"/>
  <tableColumns count="6">
    <tableColumn id="1" xr3:uid="{C3DA1B7A-25DC-3D46-B15B-32FAA7E75EF8}" uniqueName="1" name="Ad_ID" queryTableFieldId="1" dataDxfId="5"/>
    <tableColumn id="2" xr3:uid="{33EA4168-B049-0F49-B6EE-ECCEBAEEA273}" uniqueName="2" name="TV" queryTableFieldId="2" dataDxfId="4"/>
    <tableColumn id="3" xr3:uid="{B4F242FB-3239-A64F-A3CC-F9B22F01E1D0}" uniqueName="3" name="Radio" queryTableFieldId="3" dataDxfId="3"/>
    <tableColumn id="4" xr3:uid="{6D82F136-A0F2-5241-9E31-EF6E2A4E4852}" uniqueName="4" name="Newspaper" queryTableFieldId="4" dataDxfId="2"/>
    <tableColumn id="5" xr3:uid="{614EF3EE-7C6F-F041-9B97-BFB35C1D87D2}" uniqueName="5" name="Sales" queryTableFieldId="5" dataDxfId="1"/>
    <tableColumn id="6" xr3:uid="{67EA9750-378D-F04C-AB26-C7614BFE60A3}" uniqueName="6" name="TV_Spend_Level" queryTableFieldId="6" dataDxfId="0">
      <calculatedColumnFormula>IF(B2&gt;200,"High",IF(B2&gt;=100,"Medium","Low"))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A599-0599-0847-82FA-6D08C29EB07D}">
  <dimension ref="A1:F201"/>
  <sheetViews>
    <sheetView workbookViewId="0">
      <selection activeCell="I3" sqref="I3"/>
    </sheetView>
  </sheetViews>
  <sheetFormatPr baseColWidth="10" defaultRowHeight="16" x14ac:dyDescent="0.2"/>
  <cols>
    <col min="1" max="1" width="9" style="2" customWidth="1"/>
    <col min="2" max="2" width="8" style="2" customWidth="1"/>
    <col min="3" max="3" width="10.83203125" style="2" customWidth="1"/>
    <col min="4" max="4" width="15.6640625" style="2" customWidth="1"/>
    <col min="5" max="5" width="11.33203125" style="2" customWidth="1"/>
    <col min="6" max="6" width="15.6640625" style="2" customWidth="1"/>
    <col min="7" max="16384" width="10.83203125" style="2"/>
  </cols>
  <sheetData>
    <row r="1" spans="1:6" x14ac:dyDescent="0.2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21</v>
      </c>
    </row>
    <row r="2" spans="1:6" x14ac:dyDescent="0.2">
      <c r="A2" s="2">
        <v>1</v>
      </c>
      <c r="B2" s="2">
        <v>230.1</v>
      </c>
      <c r="C2" s="2">
        <v>37.799999999999997</v>
      </c>
      <c r="D2" s="2">
        <v>69.2</v>
      </c>
      <c r="E2" s="2">
        <v>22.1</v>
      </c>
      <c r="F2" s="2" t="str">
        <f t="shared" ref="F2:F33" si="0">IF(B2&gt;200,"High",IF(B2&gt;=100,"Medium","Low"))</f>
        <v>High</v>
      </c>
    </row>
    <row r="3" spans="1:6" x14ac:dyDescent="0.2">
      <c r="A3" s="2">
        <v>2</v>
      </c>
      <c r="B3" s="2">
        <v>44.5</v>
      </c>
      <c r="C3" s="2">
        <v>39.299999999999997</v>
      </c>
      <c r="D3" s="2">
        <v>45.1</v>
      </c>
      <c r="E3" s="2">
        <v>10.4</v>
      </c>
      <c r="F3" s="2" t="str">
        <f t="shared" si="0"/>
        <v>Low</v>
      </c>
    </row>
    <row r="4" spans="1:6" x14ac:dyDescent="0.2">
      <c r="A4" s="2">
        <v>3</v>
      </c>
      <c r="B4" s="2">
        <v>17.2</v>
      </c>
      <c r="C4" s="2">
        <v>45.9</v>
      </c>
      <c r="D4" s="2">
        <v>69.3</v>
      </c>
      <c r="E4" s="2">
        <v>9.3000000000000007</v>
      </c>
      <c r="F4" s="2" t="str">
        <f t="shared" si="0"/>
        <v>Low</v>
      </c>
    </row>
    <row r="5" spans="1:6" x14ac:dyDescent="0.2">
      <c r="A5" s="2">
        <v>4</v>
      </c>
      <c r="B5" s="2">
        <v>151.5</v>
      </c>
      <c r="C5" s="2">
        <v>41.3</v>
      </c>
      <c r="D5" s="2">
        <v>58.5</v>
      </c>
      <c r="E5" s="2">
        <v>18.5</v>
      </c>
      <c r="F5" s="2" t="str">
        <f t="shared" si="0"/>
        <v>Medium</v>
      </c>
    </row>
    <row r="6" spans="1:6" x14ac:dyDescent="0.2">
      <c r="A6" s="2">
        <v>5</v>
      </c>
      <c r="B6" s="2">
        <v>180.8</v>
      </c>
      <c r="C6" s="2">
        <v>10.8</v>
      </c>
      <c r="D6" s="2">
        <v>58.4</v>
      </c>
      <c r="E6" s="2">
        <v>12.9</v>
      </c>
      <c r="F6" s="2" t="str">
        <f t="shared" si="0"/>
        <v>Medium</v>
      </c>
    </row>
    <row r="7" spans="1:6" x14ac:dyDescent="0.2">
      <c r="A7" s="2">
        <v>6</v>
      </c>
      <c r="B7" s="2">
        <v>8.6999999999999993</v>
      </c>
      <c r="C7" s="2">
        <v>48.9</v>
      </c>
      <c r="D7" s="2">
        <v>75</v>
      </c>
      <c r="E7" s="2">
        <v>7.2</v>
      </c>
      <c r="F7" s="2" t="str">
        <f t="shared" si="0"/>
        <v>Low</v>
      </c>
    </row>
    <row r="8" spans="1:6" x14ac:dyDescent="0.2">
      <c r="A8" s="2">
        <v>7</v>
      </c>
      <c r="B8" s="2">
        <v>57.5</v>
      </c>
      <c r="C8" s="2">
        <v>32.799999999999997</v>
      </c>
      <c r="D8" s="2">
        <v>23.5</v>
      </c>
      <c r="E8" s="2">
        <v>11.8</v>
      </c>
      <c r="F8" s="2" t="str">
        <f t="shared" si="0"/>
        <v>Low</v>
      </c>
    </row>
    <row r="9" spans="1:6" x14ac:dyDescent="0.2">
      <c r="A9" s="2">
        <v>8</v>
      </c>
      <c r="B9" s="2">
        <v>120.2</v>
      </c>
      <c r="C9" s="2">
        <v>19.600000000000001</v>
      </c>
      <c r="D9" s="2">
        <v>11.6</v>
      </c>
      <c r="E9" s="2">
        <v>13.2</v>
      </c>
      <c r="F9" s="2" t="str">
        <f t="shared" si="0"/>
        <v>Medium</v>
      </c>
    </row>
    <row r="10" spans="1:6" x14ac:dyDescent="0.2">
      <c r="A10" s="2">
        <v>9</v>
      </c>
      <c r="B10" s="2">
        <v>8.6</v>
      </c>
      <c r="C10" s="2">
        <v>2.1</v>
      </c>
      <c r="D10" s="2">
        <v>1</v>
      </c>
      <c r="E10" s="2">
        <v>4.8</v>
      </c>
      <c r="F10" s="2" t="str">
        <f t="shared" si="0"/>
        <v>Low</v>
      </c>
    </row>
    <row r="11" spans="1:6" x14ac:dyDescent="0.2">
      <c r="A11" s="2">
        <v>10</v>
      </c>
      <c r="B11" s="2">
        <v>199.8</v>
      </c>
      <c r="C11" s="2">
        <v>2.6</v>
      </c>
      <c r="D11" s="2">
        <v>21.2</v>
      </c>
      <c r="E11" s="2">
        <v>10.6</v>
      </c>
      <c r="F11" s="2" t="str">
        <f t="shared" si="0"/>
        <v>Medium</v>
      </c>
    </row>
    <row r="12" spans="1:6" x14ac:dyDescent="0.2">
      <c r="A12" s="2">
        <v>11</v>
      </c>
      <c r="B12" s="2">
        <v>66.099999999999994</v>
      </c>
      <c r="C12" s="2">
        <v>5.8</v>
      </c>
      <c r="D12" s="2">
        <v>24.2</v>
      </c>
      <c r="E12" s="2">
        <v>8.6</v>
      </c>
      <c r="F12" s="2" t="str">
        <f t="shared" si="0"/>
        <v>Low</v>
      </c>
    </row>
    <row r="13" spans="1:6" x14ac:dyDescent="0.2">
      <c r="A13" s="2">
        <v>12</v>
      </c>
      <c r="B13" s="2">
        <v>214.7</v>
      </c>
      <c r="C13" s="2">
        <v>24</v>
      </c>
      <c r="D13" s="2">
        <v>4</v>
      </c>
      <c r="E13" s="2">
        <v>17.399999999999999</v>
      </c>
      <c r="F13" s="2" t="str">
        <f t="shared" si="0"/>
        <v>High</v>
      </c>
    </row>
    <row r="14" spans="1:6" x14ac:dyDescent="0.2">
      <c r="A14" s="2">
        <v>13</v>
      </c>
      <c r="B14" s="2">
        <v>23.8</v>
      </c>
      <c r="C14" s="2">
        <v>35.1</v>
      </c>
      <c r="D14" s="2">
        <v>65.900000000000006</v>
      </c>
      <c r="E14" s="2">
        <v>9.1999999999999993</v>
      </c>
      <c r="F14" s="2" t="str">
        <f t="shared" si="0"/>
        <v>Low</v>
      </c>
    </row>
    <row r="15" spans="1:6" x14ac:dyDescent="0.2">
      <c r="A15" s="2">
        <v>14</v>
      </c>
      <c r="B15" s="2">
        <v>97.5</v>
      </c>
      <c r="C15" s="2">
        <v>7.6</v>
      </c>
      <c r="D15" s="2">
        <v>7.2</v>
      </c>
      <c r="E15" s="2">
        <v>9.6999999999999993</v>
      </c>
      <c r="F15" s="2" t="str">
        <f t="shared" si="0"/>
        <v>Low</v>
      </c>
    </row>
    <row r="16" spans="1:6" x14ac:dyDescent="0.2">
      <c r="A16" s="2">
        <v>15</v>
      </c>
      <c r="B16" s="2">
        <v>204.1</v>
      </c>
      <c r="C16" s="2">
        <v>32.9</v>
      </c>
      <c r="D16" s="2">
        <v>46</v>
      </c>
      <c r="E16" s="2">
        <v>19</v>
      </c>
      <c r="F16" s="2" t="str">
        <f t="shared" si="0"/>
        <v>High</v>
      </c>
    </row>
    <row r="17" spans="1:6" x14ac:dyDescent="0.2">
      <c r="A17" s="2">
        <v>16</v>
      </c>
      <c r="B17" s="2">
        <v>195.4</v>
      </c>
      <c r="C17" s="2">
        <v>47.7</v>
      </c>
      <c r="D17" s="2">
        <v>52.9</v>
      </c>
      <c r="E17" s="2">
        <v>22.4</v>
      </c>
      <c r="F17" s="2" t="str">
        <f t="shared" si="0"/>
        <v>Medium</v>
      </c>
    </row>
    <row r="18" spans="1:6" x14ac:dyDescent="0.2">
      <c r="A18" s="2">
        <v>17</v>
      </c>
      <c r="B18" s="2">
        <v>67.8</v>
      </c>
      <c r="C18" s="2">
        <v>36.6</v>
      </c>
      <c r="D18" s="2">
        <v>114</v>
      </c>
      <c r="E18" s="2">
        <v>12.5</v>
      </c>
      <c r="F18" s="2" t="str">
        <f t="shared" si="0"/>
        <v>Low</v>
      </c>
    </row>
    <row r="19" spans="1:6" x14ac:dyDescent="0.2">
      <c r="A19" s="2">
        <v>18</v>
      </c>
      <c r="B19" s="2">
        <v>281.39999999999998</v>
      </c>
      <c r="C19" s="2">
        <v>39.6</v>
      </c>
      <c r="D19" s="2">
        <v>55.8</v>
      </c>
      <c r="E19" s="2">
        <v>24.4</v>
      </c>
      <c r="F19" s="2" t="str">
        <f t="shared" si="0"/>
        <v>High</v>
      </c>
    </row>
    <row r="20" spans="1:6" x14ac:dyDescent="0.2">
      <c r="A20" s="2">
        <v>19</v>
      </c>
      <c r="B20" s="2">
        <v>69.2</v>
      </c>
      <c r="C20" s="2">
        <v>20.5</v>
      </c>
      <c r="D20" s="2">
        <v>18.3</v>
      </c>
      <c r="E20" s="2">
        <v>11.3</v>
      </c>
      <c r="F20" s="2" t="str">
        <f t="shared" si="0"/>
        <v>Low</v>
      </c>
    </row>
    <row r="21" spans="1:6" x14ac:dyDescent="0.2">
      <c r="A21" s="2">
        <v>20</v>
      </c>
      <c r="B21" s="2">
        <v>147.30000000000001</v>
      </c>
      <c r="C21" s="2">
        <v>23.9</v>
      </c>
      <c r="D21" s="2">
        <v>19.100000000000001</v>
      </c>
      <c r="E21" s="2">
        <v>14.6</v>
      </c>
      <c r="F21" s="2" t="str">
        <f t="shared" si="0"/>
        <v>Medium</v>
      </c>
    </row>
    <row r="22" spans="1:6" x14ac:dyDescent="0.2">
      <c r="A22" s="2">
        <v>21</v>
      </c>
      <c r="B22" s="2">
        <v>218.4</v>
      </c>
      <c r="C22" s="2">
        <v>27.7</v>
      </c>
      <c r="D22" s="2">
        <v>53.4</v>
      </c>
      <c r="E22" s="2">
        <v>18</v>
      </c>
      <c r="F22" s="2" t="str">
        <f t="shared" si="0"/>
        <v>High</v>
      </c>
    </row>
    <row r="23" spans="1:6" x14ac:dyDescent="0.2">
      <c r="A23" s="2">
        <v>22</v>
      </c>
      <c r="B23" s="2">
        <v>237.4</v>
      </c>
      <c r="C23" s="2">
        <v>5.0999999999999996</v>
      </c>
      <c r="D23" s="2">
        <v>23.5</v>
      </c>
      <c r="E23" s="2">
        <v>12.5</v>
      </c>
      <c r="F23" s="2" t="str">
        <f t="shared" si="0"/>
        <v>High</v>
      </c>
    </row>
    <row r="24" spans="1:6" x14ac:dyDescent="0.2">
      <c r="A24" s="2">
        <v>23</v>
      </c>
      <c r="B24" s="2">
        <v>13.2</v>
      </c>
      <c r="C24" s="2">
        <v>15.9</v>
      </c>
      <c r="D24" s="2">
        <v>49.6</v>
      </c>
      <c r="E24" s="2">
        <v>5.6</v>
      </c>
      <c r="F24" s="2" t="str">
        <f t="shared" si="0"/>
        <v>Low</v>
      </c>
    </row>
    <row r="25" spans="1:6" x14ac:dyDescent="0.2">
      <c r="A25" s="2">
        <v>24</v>
      </c>
      <c r="B25" s="2">
        <v>228.3</v>
      </c>
      <c r="C25" s="2">
        <v>16.899999999999999</v>
      </c>
      <c r="D25" s="2">
        <v>26.2</v>
      </c>
      <c r="E25" s="2">
        <v>15.5</v>
      </c>
      <c r="F25" s="2" t="str">
        <f t="shared" si="0"/>
        <v>High</v>
      </c>
    </row>
    <row r="26" spans="1:6" x14ac:dyDescent="0.2">
      <c r="A26" s="2">
        <v>25</v>
      </c>
      <c r="B26" s="2">
        <v>62.3</v>
      </c>
      <c r="C26" s="2">
        <v>12.6</v>
      </c>
      <c r="D26" s="2">
        <v>18.3</v>
      </c>
      <c r="E26" s="2">
        <v>9.6999999999999993</v>
      </c>
      <c r="F26" s="2" t="str">
        <f t="shared" si="0"/>
        <v>Low</v>
      </c>
    </row>
    <row r="27" spans="1:6" x14ac:dyDescent="0.2">
      <c r="A27" s="2">
        <v>26</v>
      </c>
      <c r="B27" s="2">
        <v>262.89999999999998</v>
      </c>
      <c r="C27" s="2">
        <v>3.5</v>
      </c>
      <c r="D27" s="2">
        <v>19.5</v>
      </c>
      <c r="E27" s="2">
        <v>12</v>
      </c>
      <c r="F27" s="2" t="str">
        <f t="shared" si="0"/>
        <v>High</v>
      </c>
    </row>
    <row r="28" spans="1:6" x14ac:dyDescent="0.2">
      <c r="A28" s="2">
        <v>27</v>
      </c>
      <c r="B28" s="2">
        <v>142.9</v>
      </c>
      <c r="C28" s="2">
        <v>29.3</v>
      </c>
      <c r="D28" s="2">
        <v>12.6</v>
      </c>
      <c r="E28" s="2">
        <v>15</v>
      </c>
      <c r="F28" s="2" t="str">
        <f t="shared" si="0"/>
        <v>Medium</v>
      </c>
    </row>
    <row r="29" spans="1:6" x14ac:dyDescent="0.2">
      <c r="A29" s="2">
        <v>28</v>
      </c>
      <c r="B29" s="2">
        <v>240.1</v>
      </c>
      <c r="C29" s="2">
        <v>16.7</v>
      </c>
      <c r="D29" s="2">
        <v>22.9</v>
      </c>
      <c r="E29" s="2">
        <v>15.9</v>
      </c>
      <c r="F29" s="2" t="str">
        <f t="shared" si="0"/>
        <v>High</v>
      </c>
    </row>
    <row r="30" spans="1:6" x14ac:dyDescent="0.2">
      <c r="A30" s="2">
        <v>29</v>
      </c>
      <c r="B30" s="2">
        <v>248.8</v>
      </c>
      <c r="C30" s="2">
        <v>27.1</v>
      </c>
      <c r="D30" s="2">
        <v>22.9</v>
      </c>
      <c r="E30" s="2">
        <v>18.899999999999999</v>
      </c>
      <c r="F30" s="2" t="str">
        <f t="shared" si="0"/>
        <v>High</v>
      </c>
    </row>
    <row r="31" spans="1:6" x14ac:dyDescent="0.2">
      <c r="A31" s="2">
        <v>30</v>
      </c>
      <c r="B31" s="2">
        <v>70.599999999999994</v>
      </c>
      <c r="C31" s="2">
        <v>16</v>
      </c>
      <c r="D31" s="2">
        <v>40.799999999999997</v>
      </c>
      <c r="E31" s="2">
        <v>10.5</v>
      </c>
      <c r="F31" s="2" t="str">
        <f t="shared" si="0"/>
        <v>Low</v>
      </c>
    </row>
    <row r="32" spans="1:6" x14ac:dyDescent="0.2">
      <c r="A32" s="2">
        <v>31</v>
      </c>
      <c r="B32" s="2">
        <v>292.89999999999998</v>
      </c>
      <c r="C32" s="2">
        <v>28.3</v>
      </c>
      <c r="D32" s="2">
        <v>43.2</v>
      </c>
      <c r="E32" s="2">
        <v>21.4</v>
      </c>
      <c r="F32" s="2" t="str">
        <f t="shared" si="0"/>
        <v>High</v>
      </c>
    </row>
    <row r="33" spans="1:6" x14ac:dyDescent="0.2">
      <c r="A33" s="2">
        <v>32</v>
      </c>
      <c r="B33" s="2">
        <v>112.9</v>
      </c>
      <c r="C33" s="2">
        <v>17.399999999999999</v>
      </c>
      <c r="D33" s="2">
        <v>38.6</v>
      </c>
      <c r="E33" s="2">
        <v>11.9</v>
      </c>
      <c r="F33" s="2" t="str">
        <f t="shared" si="0"/>
        <v>Medium</v>
      </c>
    </row>
    <row r="34" spans="1:6" x14ac:dyDescent="0.2">
      <c r="A34" s="2">
        <v>33</v>
      </c>
      <c r="B34" s="2">
        <v>97.2</v>
      </c>
      <c r="C34" s="2">
        <v>1.5</v>
      </c>
      <c r="D34" s="2">
        <v>30</v>
      </c>
      <c r="E34" s="2">
        <v>9.6</v>
      </c>
      <c r="F34" s="2" t="str">
        <f t="shared" ref="F34:F65" si="1">IF(B34&gt;200,"High",IF(B34&gt;=100,"Medium","Low"))</f>
        <v>Low</v>
      </c>
    </row>
    <row r="35" spans="1:6" x14ac:dyDescent="0.2">
      <c r="A35" s="2">
        <v>34</v>
      </c>
      <c r="B35" s="2">
        <v>265.60000000000002</v>
      </c>
      <c r="C35" s="2">
        <v>20</v>
      </c>
      <c r="D35" s="2">
        <v>0.3</v>
      </c>
      <c r="E35" s="2">
        <v>17.399999999999999</v>
      </c>
      <c r="F35" s="2" t="str">
        <f t="shared" si="1"/>
        <v>High</v>
      </c>
    </row>
    <row r="36" spans="1:6" x14ac:dyDescent="0.2">
      <c r="A36" s="2">
        <v>35</v>
      </c>
      <c r="B36" s="2">
        <v>95.7</v>
      </c>
      <c r="C36" s="2">
        <v>1.4</v>
      </c>
      <c r="D36" s="2">
        <v>7.4</v>
      </c>
      <c r="E36" s="2">
        <v>9.5</v>
      </c>
      <c r="F36" s="2" t="str">
        <f t="shared" si="1"/>
        <v>Low</v>
      </c>
    </row>
    <row r="37" spans="1:6" x14ac:dyDescent="0.2">
      <c r="A37" s="2">
        <v>36</v>
      </c>
      <c r="B37" s="2">
        <v>290.7</v>
      </c>
      <c r="C37" s="2">
        <v>4.0999999999999996</v>
      </c>
      <c r="D37" s="2">
        <v>8.5</v>
      </c>
      <c r="E37" s="2">
        <v>12.8</v>
      </c>
      <c r="F37" s="2" t="str">
        <f t="shared" si="1"/>
        <v>High</v>
      </c>
    </row>
    <row r="38" spans="1:6" x14ac:dyDescent="0.2">
      <c r="A38" s="2">
        <v>37</v>
      </c>
      <c r="B38" s="2">
        <v>266.89999999999998</v>
      </c>
      <c r="C38" s="2">
        <v>43.8</v>
      </c>
      <c r="D38" s="2">
        <v>5</v>
      </c>
      <c r="E38" s="2">
        <v>25.4</v>
      </c>
      <c r="F38" s="2" t="str">
        <f t="shared" si="1"/>
        <v>High</v>
      </c>
    </row>
    <row r="39" spans="1:6" x14ac:dyDescent="0.2">
      <c r="A39" s="2">
        <v>38</v>
      </c>
      <c r="B39" s="2">
        <v>74.7</v>
      </c>
      <c r="C39" s="2">
        <v>49.4</v>
      </c>
      <c r="D39" s="2">
        <v>45.7</v>
      </c>
      <c r="E39" s="2">
        <v>14.7</v>
      </c>
      <c r="F39" s="2" t="str">
        <f t="shared" si="1"/>
        <v>Low</v>
      </c>
    </row>
    <row r="40" spans="1:6" x14ac:dyDescent="0.2">
      <c r="A40" s="2">
        <v>39</v>
      </c>
      <c r="B40" s="2">
        <v>43.1</v>
      </c>
      <c r="C40" s="2">
        <v>26.7</v>
      </c>
      <c r="D40" s="2">
        <v>35.1</v>
      </c>
      <c r="E40" s="2">
        <v>10.1</v>
      </c>
      <c r="F40" s="2" t="str">
        <f t="shared" si="1"/>
        <v>Low</v>
      </c>
    </row>
    <row r="41" spans="1:6" x14ac:dyDescent="0.2">
      <c r="A41" s="2">
        <v>40</v>
      </c>
      <c r="B41" s="2">
        <v>228</v>
      </c>
      <c r="C41" s="2">
        <v>37.700000000000003</v>
      </c>
      <c r="D41" s="2">
        <v>32</v>
      </c>
      <c r="E41" s="2">
        <v>21.5</v>
      </c>
      <c r="F41" s="2" t="str">
        <f t="shared" si="1"/>
        <v>High</v>
      </c>
    </row>
    <row r="42" spans="1:6" x14ac:dyDescent="0.2">
      <c r="A42" s="2">
        <v>41</v>
      </c>
      <c r="B42" s="2">
        <v>202.5</v>
      </c>
      <c r="C42" s="2">
        <v>22.3</v>
      </c>
      <c r="D42" s="2">
        <v>31.6</v>
      </c>
      <c r="E42" s="2">
        <v>16.600000000000001</v>
      </c>
      <c r="F42" s="2" t="str">
        <f t="shared" si="1"/>
        <v>High</v>
      </c>
    </row>
    <row r="43" spans="1:6" x14ac:dyDescent="0.2">
      <c r="A43" s="2">
        <v>42</v>
      </c>
      <c r="B43" s="2">
        <v>177</v>
      </c>
      <c r="C43" s="2">
        <v>33.4</v>
      </c>
      <c r="D43" s="2">
        <v>38.700000000000003</v>
      </c>
      <c r="E43" s="2">
        <v>17.100000000000001</v>
      </c>
      <c r="F43" s="2" t="str">
        <f t="shared" si="1"/>
        <v>Medium</v>
      </c>
    </row>
    <row r="44" spans="1:6" x14ac:dyDescent="0.2">
      <c r="A44" s="2">
        <v>43</v>
      </c>
      <c r="B44" s="2">
        <v>293.60000000000002</v>
      </c>
      <c r="C44" s="2">
        <v>27.7</v>
      </c>
      <c r="D44" s="2">
        <v>1.8</v>
      </c>
      <c r="E44" s="2">
        <v>20.7</v>
      </c>
      <c r="F44" s="2" t="str">
        <f t="shared" si="1"/>
        <v>High</v>
      </c>
    </row>
    <row r="45" spans="1:6" x14ac:dyDescent="0.2">
      <c r="A45" s="2">
        <v>44</v>
      </c>
      <c r="B45" s="2">
        <v>206.9</v>
      </c>
      <c r="C45" s="2">
        <v>8.4</v>
      </c>
      <c r="D45" s="2">
        <v>26.4</v>
      </c>
      <c r="E45" s="2">
        <v>12.9</v>
      </c>
      <c r="F45" s="2" t="str">
        <f t="shared" si="1"/>
        <v>High</v>
      </c>
    </row>
    <row r="46" spans="1:6" x14ac:dyDescent="0.2">
      <c r="A46" s="2">
        <v>45</v>
      </c>
      <c r="B46" s="2">
        <v>25.1</v>
      </c>
      <c r="C46" s="2">
        <v>25.7</v>
      </c>
      <c r="D46" s="2">
        <v>43.3</v>
      </c>
      <c r="E46" s="2">
        <v>8.5</v>
      </c>
      <c r="F46" s="2" t="str">
        <f t="shared" si="1"/>
        <v>Low</v>
      </c>
    </row>
    <row r="47" spans="1:6" x14ac:dyDescent="0.2">
      <c r="A47" s="2">
        <v>46</v>
      </c>
      <c r="B47" s="2">
        <v>175.1</v>
      </c>
      <c r="C47" s="2">
        <v>22.5</v>
      </c>
      <c r="D47" s="2">
        <v>31.5</v>
      </c>
      <c r="E47" s="2">
        <v>14.9</v>
      </c>
      <c r="F47" s="2" t="str">
        <f t="shared" si="1"/>
        <v>Medium</v>
      </c>
    </row>
    <row r="48" spans="1:6" x14ac:dyDescent="0.2">
      <c r="A48" s="2">
        <v>47</v>
      </c>
      <c r="B48" s="2">
        <v>89.7</v>
      </c>
      <c r="C48" s="2">
        <v>9.9</v>
      </c>
      <c r="D48" s="2">
        <v>35.700000000000003</v>
      </c>
      <c r="E48" s="2">
        <v>10.6</v>
      </c>
      <c r="F48" s="2" t="str">
        <f t="shared" si="1"/>
        <v>Low</v>
      </c>
    </row>
    <row r="49" spans="1:6" x14ac:dyDescent="0.2">
      <c r="A49" s="2">
        <v>48</v>
      </c>
      <c r="B49" s="2">
        <v>239.9</v>
      </c>
      <c r="C49" s="2">
        <v>41.5</v>
      </c>
      <c r="D49" s="2">
        <v>18.5</v>
      </c>
      <c r="E49" s="2">
        <v>23.2</v>
      </c>
      <c r="F49" s="2" t="str">
        <f t="shared" si="1"/>
        <v>High</v>
      </c>
    </row>
    <row r="50" spans="1:6" x14ac:dyDescent="0.2">
      <c r="A50" s="2">
        <v>49</v>
      </c>
      <c r="B50" s="2">
        <v>227.2</v>
      </c>
      <c r="C50" s="2">
        <v>15.8</v>
      </c>
      <c r="D50" s="2">
        <v>49.9</v>
      </c>
      <c r="E50" s="2">
        <v>14.8</v>
      </c>
      <c r="F50" s="2" t="str">
        <f t="shared" si="1"/>
        <v>High</v>
      </c>
    </row>
    <row r="51" spans="1:6" x14ac:dyDescent="0.2">
      <c r="A51" s="2">
        <v>50</v>
      </c>
      <c r="B51" s="2">
        <v>66.900000000000006</v>
      </c>
      <c r="C51" s="2">
        <v>11.7</v>
      </c>
      <c r="D51" s="2">
        <v>36.799999999999997</v>
      </c>
      <c r="E51" s="2">
        <v>9.6999999999999993</v>
      </c>
      <c r="F51" s="2" t="str">
        <f t="shared" si="1"/>
        <v>Low</v>
      </c>
    </row>
    <row r="52" spans="1:6" x14ac:dyDescent="0.2">
      <c r="A52" s="2">
        <v>51</v>
      </c>
      <c r="B52" s="2">
        <v>199.8</v>
      </c>
      <c r="C52" s="2">
        <v>3.1</v>
      </c>
      <c r="D52" s="2">
        <v>34.6</v>
      </c>
      <c r="E52" s="2">
        <v>11.4</v>
      </c>
      <c r="F52" s="2" t="str">
        <f t="shared" si="1"/>
        <v>Medium</v>
      </c>
    </row>
    <row r="53" spans="1:6" x14ac:dyDescent="0.2">
      <c r="A53" s="2">
        <v>52</v>
      </c>
      <c r="B53" s="2">
        <v>100.4</v>
      </c>
      <c r="C53" s="2">
        <v>9.6</v>
      </c>
      <c r="D53" s="2">
        <v>3.6</v>
      </c>
      <c r="E53" s="2">
        <v>10.7</v>
      </c>
      <c r="F53" s="2" t="str">
        <f t="shared" si="1"/>
        <v>Medium</v>
      </c>
    </row>
    <row r="54" spans="1:6" x14ac:dyDescent="0.2">
      <c r="A54" s="2">
        <v>53</v>
      </c>
      <c r="B54" s="2">
        <v>216.4</v>
      </c>
      <c r="C54" s="2">
        <v>41.7</v>
      </c>
      <c r="D54" s="2">
        <v>39.6</v>
      </c>
      <c r="E54" s="2">
        <v>22.6</v>
      </c>
      <c r="F54" s="2" t="str">
        <f t="shared" si="1"/>
        <v>High</v>
      </c>
    </row>
    <row r="55" spans="1:6" x14ac:dyDescent="0.2">
      <c r="A55" s="2">
        <v>54</v>
      </c>
      <c r="B55" s="2">
        <v>182.6</v>
      </c>
      <c r="C55" s="2">
        <v>46.2</v>
      </c>
      <c r="D55" s="2">
        <v>58.7</v>
      </c>
      <c r="E55" s="2">
        <v>21.2</v>
      </c>
      <c r="F55" s="2" t="str">
        <f t="shared" si="1"/>
        <v>Medium</v>
      </c>
    </row>
    <row r="56" spans="1:6" x14ac:dyDescent="0.2">
      <c r="A56" s="2">
        <v>55</v>
      </c>
      <c r="B56" s="2">
        <v>262.7</v>
      </c>
      <c r="C56" s="2">
        <v>28.8</v>
      </c>
      <c r="D56" s="2">
        <v>15.9</v>
      </c>
      <c r="E56" s="2">
        <v>20.2</v>
      </c>
      <c r="F56" s="2" t="str">
        <f t="shared" si="1"/>
        <v>High</v>
      </c>
    </row>
    <row r="57" spans="1:6" x14ac:dyDescent="0.2">
      <c r="A57" s="2">
        <v>56</v>
      </c>
      <c r="B57" s="2">
        <v>198.9</v>
      </c>
      <c r="C57" s="2">
        <v>49.4</v>
      </c>
      <c r="D57" s="2">
        <v>60</v>
      </c>
      <c r="E57" s="2">
        <v>23.7</v>
      </c>
      <c r="F57" s="2" t="str">
        <f t="shared" si="1"/>
        <v>Medium</v>
      </c>
    </row>
    <row r="58" spans="1:6" x14ac:dyDescent="0.2">
      <c r="A58" s="2">
        <v>57</v>
      </c>
      <c r="B58" s="2">
        <v>7.3</v>
      </c>
      <c r="C58" s="2">
        <v>28.1</v>
      </c>
      <c r="D58" s="2">
        <v>41.4</v>
      </c>
      <c r="E58" s="2">
        <v>5.5</v>
      </c>
      <c r="F58" s="2" t="str">
        <f t="shared" si="1"/>
        <v>Low</v>
      </c>
    </row>
    <row r="59" spans="1:6" x14ac:dyDescent="0.2">
      <c r="A59" s="2">
        <v>58</v>
      </c>
      <c r="B59" s="2">
        <v>136.19999999999999</v>
      </c>
      <c r="C59" s="2">
        <v>19.2</v>
      </c>
      <c r="D59" s="2">
        <v>16.600000000000001</v>
      </c>
      <c r="E59" s="2">
        <v>13.2</v>
      </c>
      <c r="F59" s="2" t="str">
        <f t="shared" si="1"/>
        <v>Medium</v>
      </c>
    </row>
    <row r="60" spans="1:6" x14ac:dyDescent="0.2">
      <c r="A60" s="2">
        <v>59</v>
      </c>
      <c r="B60" s="2">
        <v>210.8</v>
      </c>
      <c r="C60" s="2">
        <v>49.6</v>
      </c>
      <c r="D60" s="2">
        <v>37.700000000000003</v>
      </c>
      <c r="E60" s="2">
        <v>23.8</v>
      </c>
      <c r="F60" s="2" t="str">
        <f t="shared" si="1"/>
        <v>High</v>
      </c>
    </row>
    <row r="61" spans="1:6" x14ac:dyDescent="0.2">
      <c r="A61" s="2">
        <v>60</v>
      </c>
      <c r="B61" s="2">
        <v>210.7</v>
      </c>
      <c r="C61" s="2">
        <v>29.5</v>
      </c>
      <c r="D61" s="2">
        <v>9.3000000000000007</v>
      </c>
      <c r="E61" s="2">
        <v>18.399999999999999</v>
      </c>
      <c r="F61" s="2" t="str">
        <f t="shared" si="1"/>
        <v>High</v>
      </c>
    </row>
    <row r="62" spans="1:6" x14ac:dyDescent="0.2">
      <c r="A62" s="2">
        <v>61</v>
      </c>
      <c r="B62" s="2">
        <v>53.5</v>
      </c>
      <c r="C62" s="2">
        <v>2</v>
      </c>
      <c r="D62" s="2">
        <v>21.4</v>
      </c>
      <c r="E62" s="2">
        <v>8.1</v>
      </c>
      <c r="F62" s="2" t="str">
        <f t="shared" si="1"/>
        <v>Low</v>
      </c>
    </row>
    <row r="63" spans="1:6" x14ac:dyDescent="0.2">
      <c r="A63" s="2">
        <v>62</v>
      </c>
      <c r="B63" s="2">
        <v>261.3</v>
      </c>
      <c r="C63" s="2">
        <v>42.7</v>
      </c>
      <c r="D63" s="2">
        <v>54.7</v>
      </c>
      <c r="E63" s="2">
        <v>24.2</v>
      </c>
      <c r="F63" s="2" t="str">
        <f t="shared" si="1"/>
        <v>High</v>
      </c>
    </row>
    <row r="64" spans="1:6" x14ac:dyDescent="0.2">
      <c r="A64" s="2">
        <v>63</v>
      </c>
      <c r="B64" s="2">
        <v>239.3</v>
      </c>
      <c r="C64" s="2">
        <v>15.5</v>
      </c>
      <c r="D64" s="2">
        <v>27.3</v>
      </c>
      <c r="E64" s="2">
        <v>15.7</v>
      </c>
      <c r="F64" s="2" t="str">
        <f t="shared" si="1"/>
        <v>High</v>
      </c>
    </row>
    <row r="65" spans="1:6" x14ac:dyDescent="0.2">
      <c r="A65" s="2">
        <v>64</v>
      </c>
      <c r="B65" s="2">
        <v>102.7</v>
      </c>
      <c r="C65" s="2">
        <v>29.6</v>
      </c>
      <c r="D65" s="2">
        <v>8.4</v>
      </c>
      <c r="E65" s="2">
        <v>14</v>
      </c>
      <c r="F65" s="2" t="str">
        <f t="shared" si="1"/>
        <v>Medium</v>
      </c>
    </row>
    <row r="66" spans="1:6" x14ac:dyDescent="0.2">
      <c r="A66" s="2">
        <v>65</v>
      </c>
      <c r="B66" s="2">
        <v>131.1</v>
      </c>
      <c r="C66" s="2">
        <v>42.8</v>
      </c>
      <c r="D66" s="2">
        <v>28.9</v>
      </c>
      <c r="E66" s="2">
        <v>18</v>
      </c>
      <c r="F66" s="2" t="str">
        <f t="shared" ref="F66:F97" si="2">IF(B66&gt;200,"High",IF(B66&gt;=100,"Medium","Low"))</f>
        <v>Medium</v>
      </c>
    </row>
    <row r="67" spans="1:6" x14ac:dyDescent="0.2">
      <c r="A67" s="2">
        <v>66</v>
      </c>
      <c r="B67" s="2">
        <v>69</v>
      </c>
      <c r="C67" s="2">
        <v>9.3000000000000007</v>
      </c>
      <c r="D67" s="2">
        <v>0.9</v>
      </c>
      <c r="E67" s="2">
        <v>9.3000000000000007</v>
      </c>
      <c r="F67" s="2" t="str">
        <f t="shared" si="2"/>
        <v>Low</v>
      </c>
    </row>
    <row r="68" spans="1:6" x14ac:dyDescent="0.2">
      <c r="A68" s="2">
        <v>67</v>
      </c>
      <c r="B68" s="2">
        <v>31.5</v>
      </c>
      <c r="C68" s="2">
        <v>24.6</v>
      </c>
      <c r="D68" s="2">
        <v>2.2000000000000002</v>
      </c>
      <c r="E68" s="2">
        <v>9.5</v>
      </c>
      <c r="F68" s="2" t="str">
        <f t="shared" si="2"/>
        <v>Low</v>
      </c>
    </row>
    <row r="69" spans="1:6" x14ac:dyDescent="0.2">
      <c r="A69" s="2">
        <v>68</v>
      </c>
      <c r="B69" s="2">
        <v>139.30000000000001</v>
      </c>
      <c r="C69" s="2">
        <v>14.5</v>
      </c>
      <c r="D69" s="2">
        <v>10.199999999999999</v>
      </c>
      <c r="E69" s="2">
        <v>13.4</v>
      </c>
      <c r="F69" s="2" t="str">
        <f t="shared" si="2"/>
        <v>Medium</v>
      </c>
    </row>
    <row r="70" spans="1:6" x14ac:dyDescent="0.2">
      <c r="A70" s="2">
        <v>69</v>
      </c>
      <c r="B70" s="2">
        <v>237.4</v>
      </c>
      <c r="C70" s="2">
        <v>27.5</v>
      </c>
      <c r="D70" s="2">
        <v>11</v>
      </c>
      <c r="E70" s="2">
        <v>18.899999999999999</v>
      </c>
      <c r="F70" s="2" t="str">
        <f t="shared" si="2"/>
        <v>High</v>
      </c>
    </row>
    <row r="71" spans="1:6" x14ac:dyDescent="0.2">
      <c r="A71" s="2">
        <v>70</v>
      </c>
      <c r="B71" s="2">
        <v>216.8</v>
      </c>
      <c r="C71" s="2">
        <v>43.9</v>
      </c>
      <c r="D71" s="2">
        <v>27.2</v>
      </c>
      <c r="E71" s="2">
        <v>22.3</v>
      </c>
      <c r="F71" s="2" t="str">
        <f t="shared" si="2"/>
        <v>High</v>
      </c>
    </row>
    <row r="72" spans="1:6" x14ac:dyDescent="0.2">
      <c r="A72" s="2">
        <v>71</v>
      </c>
      <c r="B72" s="2">
        <v>199.1</v>
      </c>
      <c r="C72" s="2">
        <v>30.6</v>
      </c>
      <c r="D72" s="2">
        <v>38.700000000000003</v>
      </c>
      <c r="E72" s="2">
        <v>18.3</v>
      </c>
      <c r="F72" s="2" t="str">
        <f t="shared" si="2"/>
        <v>Medium</v>
      </c>
    </row>
    <row r="73" spans="1:6" x14ac:dyDescent="0.2">
      <c r="A73" s="2">
        <v>72</v>
      </c>
      <c r="B73" s="2">
        <v>109.8</v>
      </c>
      <c r="C73" s="2">
        <v>14.3</v>
      </c>
      <c r="D73" s="2">
        <v>31.7</v>
      </c>
      <c r="E73" s="2">
        <v>12.4</v>
      </c>
      <c r="F73" s="2" t="str">
        <f t="shared" si="2"/>
        <v>Medium</v>
      </c>
    </row>
    <row r="74" spans="1:6" x14ac:dyDescent="0.2">
      <c r="A74" s="2">
        <v>73</v>
      </c>
      <c r="B74" s="2">
        <v>26.8</v>
      </c>
      <c r="C74" s="2">
        <v>33</v>
      </c>
      <c r="D74" s="2">
        <v>19.3</v>
      </c>
      <c r="E74" s="2">
        <v>8.8000000000000007</v>
      </c>
      <c r="F74" s="2" t="str">
        <f t="shared" si="2"/>
        <v>Low</v>
      </c>
    </row>
    <row r="75" spans="1:6" x14ac:dyDescent="0.2">
      <c r="A75" s="2">
        <v>74</v>
      </c>
      <c r="B75" s="2">
        <v>129.4</v>
      </c>
      <c r="C75" s="2">
        <v>5.7</v>
      </c>
      <c r="D75" s="2">
        <v>31.3</v>
      </c>
      <c r="E75" s="2">
        <v>11</v>
      </c>
      <c r="F75" s="2" t="str">
        <f t="shared" si="2"/>
        <v>Medium</v>
      </c>
    </row>
    <row r="76" spans="1:6" x14ac:dyDescent="0.2">
      <c r="A76" s="2">
        <v>75</v>
      </c>
      <c r="B76" s="2">
        <v>213.4</v>
      </c>
      <c r="C76" s="2">
        <v>24.6</v>
      </c>
      <c r="D76" s="2">
        <v>13.1</v>
      </c>
      <c r="E76" s="2">
        <v>17</v>
      </c>
      <c r="F76" s="2" t="str">
        <f t="shared" si="2"/>
        <v>High</v>
      </c>
    </row>
    <row r="77" spans="1:6" x14ac:dyDescent="0.2">
      <c r="A77" s="2">
        <v>76</v>
      </c>
      <c r="B77" s="2">
        <v>16.899999999999999</v>
      </c>
      <c r="C77" s="2">
        <v>43.7</v>
      </c>
      <c r="D77" s="2">
        <v>89.4</v>
      </c>
      <c r="E77" s="2">
        <v>8.6999999999999993</v>
      </c>
      <c r="F77" s="2" t="str">
        <f t="shared" si="2"/>
        <v>Low</v>
      </c>
    </row>
    <row r="78" spans="1:6" x14ac:dyDescent="0.2">
      <c r="A78" s="2">
        <v>77</v>
      </c>
      <c r="B78" s="2">
        <v>27.5</v>
      </c>
      <c r="C78" s="2">
        <v>1.6</v>
      </c>
      <c r="D78" s="2">
        <v>20.7</v>
      </c>
      <c r="E78" s="2">
        <v>6.9</v>
      </c>
      <c r="F78" s="2" t="str">
        <f t="shared" si="2"/>
        <v>Low</v>
      </c>
    </row>
    <row r="79" spans="1:6" x14ac:dyDescent="0.2">
      <c r="A79" s="2">
        <v>78</v>
      </c>
      <c r="B79" s="2">
        <v>120.5</v>
      </c>
      <c r="C79" s="2">
        <v>28.5</v>
      </c>
      <c r="D79" s="2">
        <v>14.2</v>
      </c>
      <c r="E79" s="2">
        <v>14.2</v>
      </c>
      <c r="F79" s="2" t="str">
        <f t="shared" si="2"/>
        <v>Medium</v>
      </c>
    </row>
    <row r="80" spans="1:6" x14ac:dyDescent="0.2">
      <c r="A80" s="2">
        <v>79</v>
      </c>
      <c r="B80" s="2">
        <v>5.4</v>
      </c>
      <c r="C80" s="2">
        <v>29.9</v>
      </c>
      <c r="D80" s="2">
        <v>9.4</v>
      </c>
      <c r="E80" s="2">
        <v>5.3</v>
      </c>
      <c r="F80" s="2" t="str">
        <f t="shared" si="2"/>
        <v>Low</v>
      </c>
    </row>
    <row r="81" spans="1:6" x14ac:dyDescent="0.2">
      <c r="A81" s="2">
        <v>80</v>
      </c>
      <c r="B81" s="2">
        <v>116</v>
      </c>
      <c r="C81" s="2">
        <v>7.7</v>
      </c>
      <c r="D81" s="2">
        <v>23.1</v>
      </c>
      <c r="E81" s="2">
        <v>11</v>
      </c>
      <c r="F81" s="2" t="str">
        <f t="shared" si="2"/>
        <v>Medium</v>
      </c>
    </row>
    <row r="82" spans="1:6" x14ac:dyDescent="0.2">
      <c r="A82" s="2">
        <v>81</v>
      </c>
      <c r="B82" s="2">
        <v>76.400000000000006</v>
      </c>
      <c r="C82" s="2">
        <v>26.7</v>
      </c>
      <c r="D82" s="2">
        <v>22.3</v>
      </c>
      <c r="E82" s="2">
        <v>11.8</v>
      </c>
      <c r="F82" s="2" t="str">
        <f t="shared" si="2"/>
        <v>Low</v>
      </c>
    </row>
    <row r="83" spans="1:6" x14ac:dyDescent="0.2">
      <c r="A83" s="2">
        <v>82</v>
      </c>
      <c r="B83" s="2">
        <v>239.8</v>
      </c>
      <c r="C83" s="2">
        <v>4.0999999999999996</v>
      </c>
      <c r="D83" s="2">
        <v>36.9</v>
      </c>
      <c r="E83" s="2">
        <v>12.3</v>
      </c>
      <c r="F83" s="2" t="str">
        <f t="shared" si="2"/>
        <v>High</v>
      </c>
    </row>
    <row r="84" spans="1:6" x14ac:dyDescent="0.2">
      <c r="A84" s="2">
        <v>83</v>
      </c>
      <c r="B84" s="2">
        <v>75.3</v>
      </c>
      <c r="C84" s="2">
        <v>20.3</v>
      </c>
      <c r="D84" s="2">
        <v>32.5</v>
      </c>
      <c r="E84" s="2">
        <v>11.3</v>
      </c>
      <c r="F84" s="2" t="str">
        <f t="shared" si="2"/>
        <v>Low</v>
      </c>
    </row>
    <row r="85" spans="1:6" x14ac:dyDescent="0.2">
      <c r="A85" s="2">
        <v>84</v>
      </c>
      <c r="B85" s="2">
        <v>68.400000000000006</v>
      </c>
      <c r="C85" s="2">
        <v>44.5</v>
      </c>
      <c r="D85" s="2">
        <v>35.6</v>
      </c>
      <c r="E85" s="2">
        <v>13.6</v>
      </c>
      <c r="F85" s="2" t="str">
        <f t="shared" si="2"/>
        <v>Low</v>
      </c>
    </row>
    <row r="86" spans="1:6" x14ac:dyDescent="0.2">
      <c r="A86" s="2">
        <v>85</v>
      </c>
      <c r="B86" s="2">
        <v>213.5</v>
      </c>
      <c r="C86" s="2">
        <v>43</v>
      </c>
      <c r="D86" s="2">
        <v>33.799999999999997</v>
      </c>
      <c r="E86" s="2">
        <v>21.7</v>
      </c>
      <c r="F86" s="2" t="str">
        <f t="shared" si="2"/>
        <v>High</v>
      </c>
    </row>
    <row r="87" spans="1:6" x14ac:dyDescent="0.2">
      <c r="A87" s="2">
        <v>86</v>
      </c>
      <c r="B87" s="2">
        <v>193.2</v>
      </c>
      <c r="C87" s="2">
        <v>18.399999999999999</v>
      </c>
      <c r="D87" s="2">
        <v>65.7</v>
      </c>
      <c r="E87" s="2">
        <v>15.2</v>
      </c>
      <c r="F87" s="2" t="str">
        <f t="shared" si="2"/>
        <v>Medium</v>
      </c>
    </row>
    <row r="88" spans="1:6" x14ac:dyDescent="0.2">
      <c r="A88" s="2">
        <v>87</v>
      </c>
      <c r="B88" s="2">
        <v>76.3</v>
      </c>
      <c r="C88" s="2">
        <v>27.5</v>
      </c>
      <c r="D88" s="2">
        <v>16</v>
      </c>
      <c r="E88" s="2">
        <v>12</v>
      </c>
      <c r="F88" s="2" t="str">
        <f t="shared" si="2"/>
        <v>Low</v>
      </c>
    </row>
    <row r="89" spans="1:6" x14ac:dyDescent="0.2">
      <c r="A89" s="2">
        <v>88</v>
      </c>
      <c r="B89" s="2">
        <v>110.7</v>
      </c>
      <c r="C89" s="2">
        <v>40.6</v>
      </c>
      <c r="D89" s="2">
        <v>63.2</v>
      </c>
      <c r="E89" s="2">
        <v>16</v>
      </c>
      <c r="F89" s="2" t="str">
        <f t="shared" si="2"/>
        <v>Medium</v>
      </c>
    </row>
    <row r="90" spans="1:6" x14ac:dyDescent="0.2">
      <c r="A90" s="2">
        <v>89</v>
      </c>
      <c r="B90" s="2">
        <v>88.3</v>
      </c>
      <c r="C90" s="2">
        <v>25.5</v>
      </c>
      <c r="D90" s="2">
        <v>73.400000000000006</v>
      </c>
      <c r="E90" s="2">
        <v>12.9</v>
      </c>
      <c r="F90" s="2" t="str">
        <f t="shared" si="2"/>
        <v>Low</v>
      </c>
    </row>
    <row r="91" spans="1:6" x14ac:dyDescent="0.2">
      <c r="A91" s="2">
        <v>90</v>
      </c>
      <c r="B91" s="2">
        <v>109.8</v>
      </c>
      <c r="C91" s="2">
        <v>47.8</v>
      </c>
      <c r="D91" s="2">
        <v>51.4</v>
      </c>
      <c r="E91" s="2">
        <v>16.7</v>
      </c>
      <c r="F91" s="2" t="str">
        <f t="shared" si="2"/>
        <v>Medium</v>
      </c>
    </row>
    <row r="92" spans="1:6" x14ac:dyDescent="0.2">
      <c r="A92" s="2">
        <v>91</v>
      </c>
      <c r="B92" s="2">
        <v>134.30000000000001</v>
      </c>
      <c r="C92" s="2">
        <v>4.9000000000000004</v>
      </c>
      <c r="D92" s="2">
        <v>9.3000000000000007</v>
      </c>
      <c r="E92" s="2">
        <v>11.2</v>
      </c>
      <c r="F92" s="2" t="str">
        <f t="shared" si="2"/>
        <v>Medium</v>
      </c>
    </row>
    <row r="93" spans="1:6" x14ac:dyDescent="0.2">
      <c r="A93" s="2">
        <v>92</v>
      </c>
      <c r="B93" s="2">
        <v>28.6</v>
      </c>
      <c r="C93" s="2">
        <v>1.5</v>
      </c>
      <c r="D93" s="2">
        <v>33</v>
      </c>
      <c r="E93" s="2">
        <v>7.3</v>
      </c>
      <c r="F93" s="2" t="str">
        <f t="shared" si="2"/>
        <v>Low</v>
      </c>
    </row>
    <row r="94" spans="1:6" x14ac:dyDescent="0.2">
      <c r="A94" s="2">
        <v>93</v>
      </c>
      <c r="B94" s="2">
        <v>217.7</v>
      </c>
      <c r="C94" s="2">
        <v>33.5</v>
      </c>
      <c r="D94" s="2">
        <v>59</v>
      </c>
      <c r="E94" s="2">
        <v>19.399999999999999</v>
      </c>
      <c r="F94" s="2" t="str">
        <f t="shared" si="2"/>
        <v>High</v>
      </c>
    </row>
    <row r="95" spans="1:6" x14ac:dyDescent="0.2">
      <c r="A95" s="2">
        <v>94</v>
      </c>
      <c r="B95" s="2">
        <v>250.9</v>
      </c>
      <c r="C95" s="2">
        <v>36.5</v>
      </c>
      <c r="D95" s="2">
        <v>72.3</v>
      </c>
      <c r="E95" s="2">
        <v>22.2</v>
      </c>
      <c r="F95" s="2" t="str">
        <f t="shared" si="2"/>
        <v>High</v>
      </c>
    </row>
    <row r="96" spans="1:6" x14ac:dyDescent="0.2">
      <c r="A96" s="2">
        <v>95</v>
      </c>
      <c r="B96" s="2">
        <v>107.4</v>
      </c>
      <c r="C96" s="2">
        <v>14</v>
      </c>
      <c r="D96" s="2">
        <v>10.9</v>
      </c>
      <c r="E96" s="2">
        <v>11.5</v>
      </c>
      <c r="F96" s="2" t="str">
        <f t="shared" si="2"/>
        <v>Medium</v>
      </c>
    </row>
    <row r="97" spans="1:6" x14ac:dyDescent="0.2">
      <c r="A97" s="2">
        <v>96</v>
      </c>
      <c r="B97" s="2">
        <v>163.30000000000001</v>
      </c>
      <c r="C97" s="2">
        <v>31.6</v>
      </c>
      <c r="D97" s="2">
        <v>52.9</v>
      </c>
      <c r="E97" s="2">
        <v>16.899999999999999</v>
      </c>
      <c r="F97" s="2" t="str">
        <f t="shared" si="2"/>
        <v>Medium</v>
      </c>
    </row>
    <row r="98" spans="1:6" x14ac:dyDescent="0.2">
      <c r="A98" s="2">
        <v>97</v>
      </c>
      <c r="B98" s="2">
        <v>197.6</v>
      </c>
      <c r="C98" s="2">
        <v>3.5</v>
      </c>
      <c r="D98" s="2">
        <v>5.9</v>
      </c>
      <c r="E98" s="2">
        <v>11.7</v>
      </c>
      <c r="F98" s="2" t="str">
        <f t="shared" ref="F98:F129" si="3">IF(B98&gt;200,"High",IF(B98&gt;=100,"Medium","Low"))</f>
        <v>Medium</v>
      </c>
    </row>
    <row r="99" spans="1:6" x14ac:dyDescent="0.2">
      <c r="A99" s="2">
        <v>98</v>
      </c>
      <c r="B99" s="2">
        <v>184.9</v>
      </c>
      <c r="C99" s="2">
        <v>21</v>
      </c>
      <c r="D99" s="2">
        <v>22</v>
      </c>
      <c r="E99" s="2">
        <v>15.5</v>
      </c>
      <c r="F99" s="2" t="str">
        <f t="shared" si="3"/>
        <v>Medium</v>
      </c>
    </row>
    <row r="100" spans="1:6" x14ac:dyDescent="0.2">
      <c r="A100" s="2">
        <v>99</v>
      </c>
      <c r="B100" s="2">
        <v>289.7</v>
      </c>
      <c r="C100" s="2">
        <v>42.3</v>
      </c>
      <c r="D100" s="2">
        <v>51.2</v>
      </c>
      <c r="E100" s="2">
        <v>25.4</v>
      </c>
      <c r="F100" s="2" t="str">
        <f t="shared" si="3"/>
        <v>High</v>
      </c>
    </row>
    <row r="101" spans="1:6" x14ac:dyDescent="0.2">
      <c r="A101" s="2">
        <v>100</v>
      </c>
      <c r="B101" s="2">
        <v>135.19999999999999</v>
      </c>
      <c r="C101" s="2">
        <v>41.7</v>
      </c>
      <c r="D101" s="2">
        <v>45.9</v>
      </c>
      <c r="E101" s="2">
        <v>17.2</v>
      </c>
      <c r="F101" s="2" t="str">
        <f t="shared" si="3"/>
        <v>Medium</v>
      </c>
    </row>
    <row r="102" spans="1:6" x14ac:dyDescent="0.2">
      <c r="A102" s="2">
        <v>101</v>
      </c>
      <c r="B102" s="2">
        <v>222.4</v>
      </c>
      <c r="C102" s="2">
        <v>4.3</v>
      </c>
      <c r="D102" s="2">
        <v>49.8</v>
      </c>
      <c r="E102" s="2">
        <v>11.7</v>
      </c>
      <c r="F102" s="2" t="str">
        <f t="shared" si="3"/>
        <v>High</v>
      </c>
    </row>
    <row r="103" spans="1:6" x14ac:dyDescent="0.2">
      <c r="A103" s="2">
        <v>102</v>
      </c>
      <c r="B103" s="2">
        <v>296.39999999999998</v>
      </c>
      <c r="C103" s="2">
        <v>36.299999999999997</v>
      </c>
      <c r="D103" s="2">
        <v>100.9</v>
      </c>
      <c r="E103" s="2">
        <v>23.8</v>
      </c>
      <c r="F103" s="2" t="str">
        <f t="shared" si="3"/>
        <v>High</v>
      </c>
    </row>
    <row r="104" spans="1:6" x14ac:dyDescent="0.2">
      <c r="A104" s="2">
        <v>103</v>
      </c>
      <c r="B104" s="2">
        <v>280.2</v>
      </c>
      <c r="C104" s="2">
        <v>10.1</v>
      </c>
      <c r="D104" s="2">
        <v>21.4</v>
      </c>
      <c r="E104" s="2">
        <v>14.8</v>
      </c>
      <c r="F104" s="2" t="str">
        <f t="shared" si="3"/>
        <v>High</v>
      </c>
    </row>
    <row r="105" spans="1:6" x14ac:dyDescent="0.2">
      <c r="A105" s="2">
        <v>104</v>
      </c>
      <c r="B105" s="2">
        <v>187.9</v>
      </c>
      <c r="C105" s="2">
        <v>17.2</v>
      </c>
      <c r="D105" s="2">
        <v>17.899999999999999</v>
      </c>
      <c r="E105" s="2">
        <v>14.7</v>
      </c>
      <c r="F105" s="2" t="str">
        <f t="shared" si="3"/>
        <v>Medium</v>
      </c>
    </row>
    <row r="106" spans="1:6" x14ac:dyDescent="0.2">
      <c r="A106" s="2">
        <v>105</v>
      </c>
      <c r="B106" s="2">
        <v>238.2</v>
      </c>
      <c r="C106" s="2">
        <v>34.299999999999997</v>
      </c>
      <c r="D106" s="2">
        <v>5.3</v>
      </c>
      <c r="E106" s="2">
        <v>20.7</v>
      </c>
      <c r="F106" s="2" t="str">
        <f t="shared" si="3"/>
        <v>High</v>
      </c>
    </row>
    <row r="107" spans="1:6" x14ac:dyDescent="0.2">
      <c r="A107" s="2">
        <v>106</v>
      </c>
      <c r="B107" s="2">
        <v>137.9</v>
      </c>
      <c r="C107" s="2">
        <v>46.4</v>
      </c>
      <c r="D107" s="2">
        <v>59</v>
      </c>
      <c r="E107" s="2">
        <v>19.2</v>
      </c>
      <c r="F107" s="2" t="str">
        <f t="shared" si="3"/>
        <v>Medium</v>
      </c>
    </row>
    <row r="108" spans="1:6" x14ac:dyDescent="0.2">
      <c r="A108" s="2">
        <v>107</v>
      </c>
      <c r="B108" s="2">
        <v>25</v>
      </c>
      <c r="C108" s="2">
        <v>11</v>
      </c>
      <c r="D108" s="2">
        <v>29.7</v>
      </c>
      <c r="E108" s="2">
        <v>7.2</v>
      </c>
      <c r="F108" s="2" t="str">
        <f t="shared" si="3"/>
        <v>Low</v>
      </c>
    </row>
    <row r="109" spans="1:6" x14ac:dyDescent="0.2">
      <c r="A109" s="2">
        <v>108</v>
      </c>
      <c r="B109" s="2">
        <v>90.4</v>
      </c>
      <c r="C109" s="2">
        <v>0.3</v>
      </c>
      <c r="D109" s="2">
        <v>23.2</v>
      </c>
      <c r="E109" s="2">
        <v>8.6999999999999993</v>
      </c>
      <c r="F109" s="2" t="str">
        <f t="shared" si="3"/>
        <v>Low</v>
      </c>
    </row>
    <row r="110" spans="1:6" x14ac:dyDescent="0.2">
      <c r="A110" s="2">
        <v>109</v>
      </c>
      <c r="B110" s="2">
        <v>13.1</v>
      </c>
      <c r="C110" s="2">
        <v>0.4</v>
      </c>
      <c r="D110" s="2">
        <v>25.6</v>
      </c>
      <c r="E110" s="2">
        <v>5.3</v>
      </c>
      <c r="F110" s="2" t="str">
        <f t="shared" si="3"/>
        <v>Low</v>
      </c>
    </row>
    <row r="111" spans="1:6" x14ac:dyDescent="0.2">
      <c r="A111" s="2">
        <v>110</v>
      </c>
      <c r="B111" s="2">
        <v>255.4</v>
      </c>
      <c r="C111" s="2">
        <v>26.9</v>
      </c>
      <c r="D111" s="2">
        <v>5.5</v>
      </c>
      <c r="E111" s="2">
        <v>19.8</v>
      </c>
      <c r="F111" s="2" t="str">
        <f t="shared" si="3"/>
        <v>High</v>
      </c>
    </row>
    <row r="112" spans="1:6" x14ac:dyDescent="0.2">
      <c r="A112" s="2">
        <v>111</v>
      </c>
      <c r="B112" s="2">
        <v>225.8</v>
      </c>
      <c r="C112" s="2">
        <v>8.1999999999999993</v>
      </c>
      <c r="D112" s="2">
        <v>56.5</v>
      </c>
      <c r="E112" s="2">
        <v>13.4</v>
      </c>
      <c r="F112" s="2" t="str">
        <f t="shared" si="3"/>
        <v>High</v>
      </c>
    </row>
    <row r="113" spans="1:6" x14ac:dyDescent="0.2">
      <c r="A113" s="2">
        <v>112</v>
      </c>
      <c r="B113" s="2">
        <v>241.7</v>
      </c>
      <c r="C113" s="2">
        <v>38</v>
      </c>
      <c r="D113" s="2">
        <v>23.2</v>
      </c>
      <c r="E113" s="2">
        <v>21.8</v>
      </c>
      <c r="F113" s="2" t="str">
        <f t="shared" si="3"/>
        <v>High</v>
      </c>
    </row>
    <row r="114" spans="1:6" x14ac:dyDescent="0.2">
      <c r="A114" s="2">
        <v>113</v>
      </c>
      <c r="B114" s="2">
        <v>175.7</v>
      </c>
      <c r="C114" s="2">
        <v>15.4</v>
      </c>
      <c r="D114" s="2">
        <v>2.4</v>
      </c>
      <c r="E114" s="2">
        <v>14.1</v>
      </c>
      <c r="F114" s="2" t="str">
        <f t="shared" si="3"/>
        <v>Medium</v>
      </c>
    </row>
    <row r="115" spans="1:6" x14ac:dyDescent="0.2">
      <c r="A115" s="2">
        <v>114</v>
      </c>
      <c r="B115" s="2">
        <v>209.6</v>
      </c>
      <c r="C115" s="2">
        <v>20.6</v>
      </c>
      <c r="D115" s="2">
        <v>10.7</v>
      </c>
      <c r="E115" s="2">
        <v>15.9</v>
      </c>
      <c r="F115" s="2" t="str">
        <f t="shared" si="3"/>
        <v>High</v>
      </c>
    </row>
    <row r="116" spans="1:6" x14ac:dyDescent="0.2">
      <c r="A116" s="2">
        <v>115</v>
      </c>
      <c r="B116" s="2">
        <v>78.2</v>
      </c>
      <c r="C116" s="2">
        <v>46.8</v>
      </c>
      <c r="D116" s="2">
        <v>34.5</v>
      </c>
      <c r="E116" s="2">
        <v>14.6</v>
      </c>
      <c r="F116" s="2" t="str">
        <f t="shared" si="3"/>
        <v>Low</v>
      </c>
    </row>
    <row r="117" spans="1:6" x14ac:dyDescent="0.2">
      <c r="A117" s="2">
        <v>116</v>
      </c>
      <c r="B117" s="2">
        <v>75.099999999999994</v>
      </c>
      <c r="C117" s="2">
        <v>35</v>
      </c>
      <c r="D117" s="2">
        <v>52.7</v>
      </c>
      <c r="E117" s="2">
        <v>12.6</v>
      </c>
      <c r="F117" s="2" t="str">
        <f t="shared" si="3"/>
        <v>Low</v>
      </c>
    </row>
    <row r="118" spans="1:6" x14ac:dyDescent="0.2">
      <c r="A118" s="2">
        <v>117</v>
      </c>
      <c r="B118" s="2">
        <v>139.19999999999999</v>
      </c>
      <c r="C118" s="2">
        <v>14.3</v>
      </c>
      <c r="D118" s="2">
        <v>25.6</v>
      </c>
      <c r="E118" s="2">
        <v>12.2</v>
      </c>
      <c r="F118" s="2" t="str">
        <f t="shared" si="3"/>
        <v>Medium</v>
      </c>
    </row>
    <row r="119" spans="1:6" x14ac:dyDescent="0.2">
      <c r="A119" s="2">
        <v>118</v>
      </c>
      <c r="B119" s="2">
        <v>76.400000000000006</v>
      </c>
      <c r="C119" s="2">
        <v>0.8</v>
      </c>
      <c r="D119" s="2">
        <v>14.8</v>
      </c>
      <c r="E119" s="2">
        <v>9.4</v>
      </c>
      <c r="F119" s="2" t="str">
        <f t="shared" si="3"/>
        <v>Low</v>
      </c>
    </row>
    <row r="120" spans="1:6" x14ac:dyDescent="0.2">
      <c r="A120" s="2">
        <v>119</v>
      </c>
      <c r="B120" s="2">
        <v>125.7</v>
      </c>
      <c r="C120" s="2">
        <v>36.9</v>
      </c>
      <c r="D120" s="2">
        <v>79.2</v>
      </c>
      <c r="E120" s="2">
        <v>15.9</v>
      </c>
      <c r="F120" s="2" t="str">
        <f t="shared" si="3"/>
        <v>Medium</v>
      </c>
    </row>
    <row r="121" spans="1:6" x14ac:dyDescent="0.2">
      <c r="A121" s="2">
        <v>120</v>
      </c>
      <c r="B121" s="2">
        <v>19.399999999999999</v>
      </c>
      <c r="C121" s="2">
        <v>16</v>
      </c>
      <c r="D121" s="2">
        <v>22.3</v>
      </c>
      <c r="E121" s="2">
        <v>6.6</v>
      </c>
      <c r="F121" s="2" t="str">
        <f t="shared" si="3"/>
        <v>Low</v>
      </c>
    </row>
    <row r="122" spans="1:6" x14ac:dyDescent="0.2">
      <c r="A122" s="2">
        <v>121</v>
      </c>
      <c r="B122" s="2">
        <v>141.30000000000001</v>
      </c>
      <c r="C122" s="2">
        <v>26.8</v>
      </c>
      <c r="D122" s="2">
        <v>46.2</v>
      </c>
      <c r="E122" s="2">
        <v>15.5</v>
      </c>
      <c r="F122" s="2" t="str">
        <f t="shared" si="3"/>
        <v>Medium</v>
      </c>
    </row>
    <row r="123" spans="1:6" x14ac:dyDescent="0.2">
      <c r="A123" s="2">
        <v>122</v>
      </c>
      <c r="B123" s="2">
        <v>18.8</v>
      </c>
      <c r="C123" s="2">
        <v>21.7</v>
      </c>
      <c r="D123" s="2">
        <v>50.4</v>
      </c>
      <c r="E123" s="2">
        <v>7</v>
      </c>
      <c r="F123" s="2" t="str">
        <f t="shared" si="3"/>
        <v>Low</v>
      </c>
    </row>
    <row r="124" spans="1:6" x14ac:dyDescent="0.2">
      <c r="A124" s="2">
        <v>123</v>
      </c>
      <c r="B124" s="2">
        <v>224</v>
      </c>
      <c r="C124" s="2">
        <v>2.4</v>
      </c>
      <c r="D124" s="2">
        <v>15.6</v>
      </c>
      <c r="E124" s="2">
        <v>11.6</v>
      </c>
      <c r="F124" s="2" t="str">
        <f t="shared" si="3"/>
        <v>High</v>
      </c>
    </row>
    <row r="125" spans="1:6" x14ac:dyDescent="0.2">
      <c r="A125" s="2">
        <v>124</v>
      </c>
      <c r="B125" s="2">
        <v>123.1</v>
      </c>
      <c r="C125" s="2">
        <v>34.6</v>
      </c>
      <c r="D125" s="2">
        <v>12.4</v>
      </c>
      <c r="E125" s="2">
        <v>15.2</v>
      </c>
      <c r="F125" s="2" t="str">
        <f t="shared" si="3"/>
        <v>Medium</v>
      </c>
    </row>
    <row r="126" spans="1:6" x14ac:dyDescent="0.2">
      <c r="A126" s="2">
        <v>125</v>
      </c>
      <c r="B126" s="2">
        <v>229.5</v>
      </c>
      <c r="C126" s="2">
        <v>32.299999999999997</v>
      </c>
      <c r="D126" s="2">
        <v>74.2</v>
      </c>
      <c r="E126" s="2">
        <v>19.7</v>
      </c>
      <c r="F126" s="2" t="str">
        <f t="shared" si="3"/>
        <v>High</v>
      </c>
    </row>
    <row r="127" spans="1:6" x14ac:dyDescent="0.2">
      <c r="A127" s="2">
        <v>126</v>
      </c>
      <c r="B127" s="2">
        <v>87.2</v>
      </c>
      <c r="C127" s="2">
        <v>11.8</v>
      </c>
      <c r="D127" s="2">
        <v>25.9</v>
      </c>
      <c r="E127" s="2">
        <v>10.6</v>
      </c>
      <c r="F127" s="2" t="str">
        <f t="shared" si="3"/>
        <v>Low</v>
      </c>
    </row>
    <row r="128" spans="1:6" x14ac:dyDescent="0.2">
      <c r="A128" s="2">
        <v>127</v>
      </c>
      <c r="B128" s="2">
        <v>7.8</v>
      </c>
      <c r="C128" s="2">
        <v>38.9</v>
      </c>
      <c r="D128" s="2">
        <v>50.6</v>
      </c>
      <c r="E128" s="2">
        <v>6.6</v>
      </c>
      <c r="F128" s="2" t="str">
        <f t="shared" si="3"/>
        <v>Low</v>
      </c>
    </row>
    <row r="129" spans="1:6" x14ac:dyDescent="0.2">
      <c r="A129" s="2">
        <v>128</v>
      </c>
      <c r="B129" s="2">
        <v>80.2</v>
      </c>
      <c r="C129" s="2">
        <v>0</v>
      </c>
      <c r="D129" s="2">
        <v>9.1999999999999993</v>
      </c>
      <c r="E129" s="2">
        <v>8.8000000000000007</v>
      </c>
      <c r="F129" s="2" t="str">
        <f t="shared" si="3"/>
        <v>Low</v>
      </c>
    </row>
    <row r="130" spans="1:6" x14ac:dyDescent="0.2">
      <c r="A130" s="2">
        <v>129</v>
      </c>
      <c r="B130" s="2">
        <v>220.3</v>
      </c>
      <c r="C130" s="2">
        <v>49</v>
      </c>
      <c r="D130" s="2">
        <v>3.2</v>
      </c>
      <c r="E130" s="2">
        <v>24.7</v>
      </c>
      <c r="F130" s="2" t="str">
        <f t="shared" ref="F130:F161" si="4">IF(B130&gt;200,"High",IF(B130&gt;=100,"Medium","Low"))</f>
        <v>High</v>
      </c>
    </row>
    <row r="131" spans="1:6" x14ac:dyDescent="0.2">
      <c r="A131" s="2">
        <v>130</v>
      </c>
      <c r="B131" s="2">
        <v>59.6</v>
      </c>
      <c r="C131" s="2">
        <v>12</v>
      </c>
      <c r="D131" s="2">
        <v>43.1</v>
      </c>
      <c r="E131" s="2">
        <v>9.6999999999999993</v>
      </c>
      <c r="F131" s="2" t="str">
        <f t="shared" si="4"/>
        <v>Low</v>
      </c>
    </row>
    <row r="132" spans="1:6" x14ac:dyDescent="0.2">
      <c r="A132" s="2">
        <v>131</v>
      </c>
      <c r="B132" s="2">
        <v>0.7</v>
      </c>
      <c r="C132" s="2">
        <v>39.6</v>
      </c>
      <c r="D132" s="2">
        <v>8.6999999999999993</v>
      </c>
      <c r="E132" s="2">
        <v>1.6</v>
      </c>
      <c r="F132" s="2" t="str">
        <f t="shared" si="4"/>
        <v>Low</v>
      </c>
    </row>
    <row r="133" spans="1:6" x14ac:dyDescent="0.2">
      <c r="A133" s="2">
        <v>132</v>
      </c>
      <c r="B133" s="2">
        <v>265.2</v>
      </c>
      <c r="C133" s="2">
        <v>2.9</v>
      </c>
      <c r="D133" s="2">
        <v>43</v>
      </c>
      <c r="E133" s="2">
        <v>12.7</v>
      </c>
      <c r="F133" s="2" t="str">
        <f t="shared" si="4"/>
        <v>High</v>
      </c>
    </row>
    <row r="134" spans="1:6" x14ac:dyDescent="0.2">
      <c r="A134" s="2">
        <v>133</v>
      </c>
      <c r="B134" s="2">
        <v>8.4</v>
      </c>
      <c r="C134" s="2">
        <v>27.2</v>
      </c>
      <c r="D134" s="2">
        <v>2.1</v>
      </c>
      <c r="E134" s="2">
        <v>5.7</v>
      </c>
      <c r="F134" s="2" t="str">
        <f t="shared" si="4"/>
        <v>Low</v>
      </c>
    </row>
    <row r="135" spans="1:6" x14ac:dyDescent="0.2">
      <c r="A135" s="2">
        <v>134</v>
      </c>
      <c r="B135" s="2">
        <v>219.8</v>
      </c>
      <c r="C135" s="2">
        <v>33.5</v>
      </c>
      <c r="D135" s="2">
        <v>45.1</v>
      </c>
      <c r="E135" s="2">
        <v>19.600000000000001</v>
      </c>
      <c r="F135" s="2" t="str">
        <f t="shared" si="4"/>
        <v>High</v>
      </c>
    </row>
    <row r="136" spans="1:6" x14ac:dyDescent="0.2">
      <c r="A136" s="2">
        <v>135</v>
      </c>
      <c r="B136" s="2">
        <v>36.9</v>
      </c>
      <c r="C136" s="2">
        <v>38.6</v>
      </c>
      <c r="D136" s="2">
        <v>65.599999999999994</v>
      </c>
      <c r="E136" s="2">
        <v>10.8</v>
      </c>
      <c r="F136" s="2" t="str">
        <f t="shared" si="4"/>
        <v>Low</v>
      </c>
    </row>
    <row r="137" spans="1:6" x14ac:dyDescent="0.2">
      <c r="A137" s="2">
        <v>136</v>
      </c>
      <c r="B137" s="2">
        <v>48.3</v>
      </c>
      <c r="C137" s="2">
        <v>47</v>
      </c>
      <c r="D137" s="2">
        <v>8.5</v>
      </c>
      <c r="E137" s="2">
        <v>11.6</v>
      </c>
      <c r="F137" s="2" t="str">
        <f t="shared" si="4"/>
        <v>Low</v>
      </c>
    </row>
    <row r="138" spans="1:6" x14ac:dyDescent="0.2">
      <c r="A138" s="2">
        <v>137</v>
      </c>
      <c r="B138" s="2">
        <v>25.6</v>
      </c>
      <c r="C138" s="2">
        <v>39</v>
      </c>
      <c r="D138" s="2">
        <v>9.3000000000000007</v>
      </c>
      <c r="E138" s="2">
        <v>9.5</v>
      </c>
      <c r="F138" s="2" t="str">
        <f t="shared" si="4"/>
        <v>Low</v>
      </c>
    </row>
    <row r="139" spans="1:6" x14ac:dyDescent="0.2">
      <c r="A139" s="2">
        <v>138</v>
      </c>
      <c r="B139" s="2">
        <v>273.7</v>
      </c>
      <c r="C139" s="2">
        <v>28.9</v>
      </c>
      <c r="D139" s="2">
        <v>59.7</v>
      </c>
      <c r="E139" s="2">
        <v>20.8</v>
      </c>
      <c r="F139" s="2" t="str">
        <f t="shared" si="4"/>
        <v>High</v>
      </c>
    </row>
    <row r="140" spans="1:6" x14ac:dyDescent="0.2">
      <c r="A140" s="2">
        <v>139</v>
      </c>
      <c r="B140" s="2">
        <v>43</v>
      </c>
      <c r="C140" s="2">
        <v>25.9</v>
      </c>
      <c r="D140" s="2">
        <v>20.5</v>
      </c>
      <c r="E140" s="2">
        <v>9.6</v>
      </c>
      <c r="F140" s="2" t="str">
        <f t="shared" si="4"/>
        <v>Low</v>
      </c>
    </row>
    <row r="141" spans="1:6" x14ac:dyDescent="0.2">
      <c r="A141" s="2">
        <v>140</v>
      </c>
      <c r="B141" s="2">
        <v>184.9</v>
      </c>
      <c r="C141" s="2">
        <v>43.9</v>
      </c>
      <c r="D141" s="2">
        <v>1.7</v>
      </c>
      <c r="E141" s="2">
        <v>20.7</v>
      </c>
      <c r="F141" s="2" t="str">
        <f t="shared" si="4"/>
        <v>Medium</v>
      </c>
    </row>
    <row r="142" spans="1:6" x14ac:dyDescent="0.2">
      <c r="A142" s="2">
        <v>141</v>
      </c>
      <c r="B142" s="2">
        <v>73.400000000000006</v>
      </c>
      <c r="C142" s="2">
        <v>17</v>
      </c>
      <c r="D142" s="2">
        <v>12.9</v>
      </c>
      <c r="E142" s="2">
        <v>10.9</v>
      </c>
      <c r="F142" s="2" t="str">
        <f t="shared" si="4"/>
        <v>Low</v>
      </c>
    </row>
    <row r="143" spans="1:6" x14ac:dyDescent="0.2">
      <c r="A143" s="2">
        <v>142</v>
      </c>
      <c r="B143" s="2">
        <v>193.7</v>
      </c>
      <c r="C143" s="2">
        <v>35.4</v>
      </c>
      <c r="D143" s="2">
        <v>75.599999999999994</v>
      </c>
      <c r="E143" s="2">
        <v>19.2</v>
      </c>
      <c r="F143" s="2" t="str">
        <f t="shared" si="4"/>
        <v>Medium</v>
      </c>
    </row>
    <row r="144" spans="1:6" x14ac:dyDescent="0.2">
      <c r="A144" s="2">
        <v>143</v>
      </c>
      <c r="B144" s="2">
        <v>220.5</v>
      </c>
      <c r="C144" s="2">
        <v>33.200000000000003</v>
      </c>
      <c r="D144" s="2">
        <v>37.9</v>
      </c>
      <c r="E144" s="2">
        <v>20.100000000000001</v>
      </c>
      <c r="F144" s="2" t="str">
        <f t="shared" si="4"/>
        <v>High</v>
      </c>
    </row>
    <row r="145" spans="1:6" x14ac:dyDescent="0.2">
      <c r="A145" s="2">
        <v>144</v>
      </c>
      <c r="B145" s="2">
        <v>104.6</v>
      </c>
      <c r="C145" s="2">
        <v>5.7</v>
      </c>
      <c r="D145" s="2">
        <v>34.4</v>
      </c>
      <c r="E145" s="2">
        <v>10.4</v>
      </c>
      <c r="F145" s="2" t="str">
        <f t="shared" si="4"/>
        <v>Medium</v>
      </c>
    </row>
    <row r="146" spans="1:6" x14ac:dyDescent="0.2">
      <c r="A146" s="2">
        <v>145</v>
      </c>
      <c r="B146" s="2">
        <v>96.2</v>
      </c>
      <c r="C146" s="2">
        <v>14.8</v>
      </c>
      <c r="D146" s="2">
        <v>38.9</v>
      </c>
      <c r="E146" s="2">
        <v>11.4</v>
      </c>
      <c r="F146" s="2" t="str">
        <f t="shared" si="4"/>
        <v>Low</v>
      </c>
    </row>
    <row r="147" spans="1:6" x14ac:dyDescent="0.2">
      <c r="A147" s="2">
        <v>146</v>
      </c>
      <c r="B147" s="2">
        <v>140.30000000000001</v>
      </c>
      <c r="C147" s="2">
        <v>1.9</v>
      </c>
      <c r="D147" s="2">
        <v>9</v>
      </c>
      <c r="E147" s="2">
        <v>10.3</v>
      </c>
      <c r="F147" s="2" t="str">
        <f t="shared" si="4"/>
        <v>Medium</v>
      </c>
    </row>
    <row r="148" spans="1:6" x14ac:dyDescent="0.2">
      <c r="A148" s="2">
        <v>147</v>
      </c>
      <c r="B148" s="2">
        <v>240.1</v>
      </c>
      <c r="C148" s="2">
        <v>7.3</v>
      </c>
      <c r="D148" s="2">
        <v>8.6999999999999993</v>
      </c>
      <c r="E148" s="2">
        <v>13.2</v>
      </c>
      <c r="F148" s="2" t="str">
        <f t="shared" si="4"/>
        <v>High</v>
      </c>
    </row>
    <row r="149" spans="1:6" x14ac:dyDescent="0.2">
      <c r="A149" s="2">
        <v>148</v>
      </c>
      <c r="B149" s="2">
        <v>243.2</v>
      </c>
      <c r="C149" s="2">
        <v>49</v>
      </c>
      <c r="D149" s="2">
        <v>44.3</v>
      </c>
      <c r="E149" s="2">
        <v>25.4</v>
      </c>
      <c r="F149" s="2" t="str">
        <f t="shared" si="4"/>
        <v>High</v>
      </c>
    </row>
    <row r="150" spans="1:6" x14ac:dyDescent="0.2">
      <c r="A150" s="2">
        <v>149</v>
      </c>
      <c r="B150" s="2">
        <v>38</v>
      </c>
      <c r="C150" s="2">
        <v>40.299999999999997</v>
      </c>
      <c r="D150" s="2">
        <v>11.9</v>
      </c>
      <c r="E150" s="2">
        <v>10.9</v>
      </c>
      <c r="F150" s="2" t="str">
        <f t="shared" si="4"/>
        <v>Low</v>
      </c>
    </row>
    <row r="151" spans="1:6" x14ac:dyDescent="0.2">
      <c r="A151" s="2">
        <v>150</v>
      </c>
      <c r="B151" s="2">
        <v>44.7</v>
      </c>
      <c r="C151" s="2">
        <v>25.8</v>
      </c>
      <c r="D151" s="2">
        <v>20.6</v>
      </c>
      <c r="E151" s="2">
        <v>10.1</v>
      </c>
      <c r="F151" s="2" t="str">
        <f t="shared" si="4"/>
        <v>Low</v>
      </c>
    </row>
    <row r="152" spans="1:6" x14ac:dyDescent="0.2">
      <c r="A152" s="2">
        <v>151</v>
      </c>
      <c r="B152" s="2">
        <v>280.7</v>
      </c>
      <c r="C152" s="2">
        <v>13.9</v>
      </c>
      <c r="D152" s="2">
        <v>37</v>
      </c>
      <c r="E152" s="2">
        <v>16.100000000000001</v>
      </c>
      <c r="F152" s="2" t="str">
        <f t="shared" si="4"/>
        <v>High</v>
      </c>
    </row>
    <row r="153" spans="1:6" x14ac:dyDescent="0.2">
      <c r="A153" s="2">
        <v>152</v>
      </c>
      <c r="B153" s="2">
        <v>121</v>
      </c>
      <c r="C153" s="2">
        <v>8.4</v>
      </c>
      <c r="D153" s="2">
        <v>48.7</v>
      </c>
      <c r="E153" s="2">
        <v>11.6</v>
      </c>
      <c r="F153" s="2" t="str">
        <f t="shared" si="4"/>
        <v>Medium</v>
      </c>
    </row>
    <row r="154" spans="1:6" x14ac:dyDescent="0.2">
      <c r="A154" s="2">
        <v>153</v>
      </c>
      <c r="B154" s="2">
        <v>197.6</v>
      </c>
      <c r="C154" s="2">
        <v>23.3</v>
      </c>
      <c r="D154" s="2">
        <v>14.2</v>
      </c>
      <c r="E154" s="2">
        <v>16.600000000000001</v>
      </c>
      <c r="F154" s="2" t="str">
        <f t="shared" si="4"/>
        <v>Medium</v>
      </c>
    </row>
    <row r="155" spans="1:6" x14ac:dyDescent="0.2">
      <c r="A155" s="2">
        <v>154</v>
      </c>
      <c r="B155" s="2">
        <v>171.3</v>
      </c>
      <c r="C155" s="2">
        <v>39.700000000000003</v>
      </c>
      <c r="D155" s="2">
        <v>37.700000000000003</v>
      </c>
      <c r="E155" s="2">
        <v>19</v>
      </c>
      <c r="F155" s="2" t="str">
        <f t="shared" si="4"/>
        <v>Medium</v>
      </c>
    </row>
    <row r="156" spans="1:6" x14ac:dyDescent="0.2">
      <c r="A156" s="2">
        <v>155</v>
      </c>
      <c r="B156" s="2">
        <v>187.8</v>
      </c>
      <c r="C156" s="2">
        <v>21.1</v>
      </c>
      <c r="D156" s="2">
        <v>9.5</v>
      </c>
      <c r="E156" s="2">
        <v>15.6</v>
      </c>
      <c r="F156" s="2" t="str">
        <f t="shared" si="4"/>
        <v>Medium</v>
      </c>
    </row>
    <row r="157" spans="1:6" x14ac:dyDescent="0.2">
      <c r="A157" s="2">
        <v>156</v>
      </c>
      <c r="B157" s="2">
        <v>4.0999999999999996</v>
      </c>
      <c r="C157" s="2">
        <v>11.6</v>
      </c>
      <c r="D157" s="2">
        <v>5.7</v>
      </c>
      <c r="E157" s="2">
        <v>3.2</v>
      </c>
      <c r="F157" s="2" t="str">
        <f t="shared" si="4"/>
        <v>Low</v>
      </c>
    </row>
    <row r="158" spans="1:6" x14ac:dyDescent="0.2">
      <c r="A158" s="2">
        <v>157</v>
      </c>
      <c r="B158" s="2">
        <v>93.9</v>
      </c>
      <c r="C158" s="2">
        <v>43.5</v>
      </c>
      <c r="D158" s="2">
        <v>50.5</v>
      </c>
      <c r="E158" s="2">
        <v>15.3</v>
      </c>
      <c r="F158" s="2" t="str">
        <f t="shared" si="4"/>
        <v>Low</v>
      </c>
    </row>
    <row r="159" spans="1:6" x14ac:dyDescent="0.2">
      <c r="A159" s="2">
        <v>158</v>
      </c>
      <c r="B159" s="2">
        <v>149.80000000000001</v>
      </c>
      <c r="C159" s="2">
        <v>1.3</v>
      </c>
      <c r="D159" s="2">
        <v>24.3</v>
      </c>
      <c r="E159" s="2">
        <v>10.1</v>
      </c>
      <c r="F159" s="2" t="str">
        <f t="shared" si="4"/>
        <v>Medium</v>
      </c>
    </row>
    <row r="160" spans="1:6" x14ac:dyDescent="0.2">
      <c r="A160" s="2">
        <v>159</v>
      </c>
      <c r="B160" s="2">
        <v>11.7</v>
      </c>
      <c r="C160" s="2">
        <v>36.9</v>
      </c>
      <c r="D160" s="2">
        <v>45.2</v>
      </c>
      <c r="E160" s="2">
        <v>7.3</v>
      </c>
      <c r="F160" s="2" t="str">
        <f t="shared" si="4"/>
        <v>Low</v>
      </c>
    </row>
    <row r="161" spans="1:6" x14ac:dyDescent="0.2">
      <c r="A161" s="2">
        <v>160</v>
      </c>
      <c r="B161" s="2">
        <v>131.69999999999999</v>
      </c>
      <c r="C161" s="2">
        <v>18.399999999999999</v>
      </c>
      <c r="D161" s="2">
        <v>34.6</v>
      </c>
      <c r="E161" s="2">
        <v>12.9</v>
      </c>
      <c r="F161" s="2" t="str">
        <f t="shared" si="4"/>
        <v>Medium</v>
      </c>
    </row>
    <row r="162" spans="1:6" x14ac:dyDescent="0.2">
      <c r="A162" s="2">
        <v>161</v>
      </c>
      <c r="B162" s="2">
        <v>172.5</v>
      </c>
      <c r="C162" s="2">
        <v>18.100000000000001</v>
      </c>
      <c r="D162" s="2">
        <v>30.7</v>
      </c>
      <c r="E162" s="2">
        <v>14.4</v>
      </c>
      <c r="F162" s="2" t="str">
        <f t="shared" ref="F162:F193" si="5">IF(B162&gt;200,"High",IF(B162&gt;=100,"Medium","Low"))</f>
        <v>Medium</v>
      </c>
    </row>
    <row r="163" spans="1:6" x14ac:dyDescent="0.2">
      <c r="A163" s="2">
        <v>162</v>
      </c>
      <c r="B163" s="2">
        <v>85.7</v>
      </c>
      <c r="C163" s="2">
        <v>35.799999999999997</v>
      </c>
      <c r="D163" s="2">
        <v>49.3</v>
      </c>
      <c r="E163" s="2">
        <v>13.3</v>
      </c>
      <c r="F163" s="2" t="str">
        <f t="shared" si="5"/>
        <v>Low</v>
      </c>
    </row>
    <row r="164" spans="1:6" x14ac:dyDescent="0.2">
      <c r="A164" s="2">
        <v>163</v>
      </c>
      <c r="B164" s="2">
        <v>188.4</v>
      </c>
      <c r="C164" s="2">
        <v>18.100000000000001</v>
      </c>
      <c r="D164" s="2">
        <v>25.6</v>
      </c>
      <c r="E164" s="2">
        <v>14.9</v>
      </c>
      <c r="F164" s="2" t="str">
        <f t="shared" si="5"/>
        <v>Medium</v>
      </c>
    </row>
    <row r="165" spans="1:6" x14ac:dyDescent="0.2">
      <c r="A165" s="2">
        <v>164</v>
      </c>
      <c r="B165" s="2">
        <v>163.5</v>
      </c>
      <c r="C165" s="2">
        <v>36.799999999999997</v>
      </c>
      <c r="D165" s="2">
        <v>7.4</v>
      </c>
      <c r="E165" s="2">
        <v>18</v>
      </c>
      <c r="F165" s="2" t="str">
        <f t="shared" si="5"/>
        <v>Medium</v>
      </c>
    </row>
    <row r="166" spans="1:6" x14ac:dyDescent="0.2">
      <c r="A166" s="2">
        <v>165</v>
      </c>
      <c r="B166" s="2">
        <v>117.2</v>
      </c>
      <c r="C166" s="2">
        <v>14.7</v>
      </c>
      <c r="D166" s="2">
        <v>5.4</v>
      </c>
      <c r="E166" s="2">
        <v>11.9</v>
      </c>
      <c r="F166" s="2" t="str">
        <f t="shared" si="5"/>
        <v>Medium</v>
      </c>
    </row>
    <row r="167" spans="1:6" x14ac:dyDescent="0.2">
      <c r="A167" s="2">
        <v>166</v>
      </c>
      <c r="B167" s="2">
        <v>234.5</v>
      </c>
      <c r="C167" s="2">
        <v>3.4</v>
      </c>
      <c r="D167" s="2">
        <v>84.8</v>
      </c>
      <c r="E167" s="2">
        <v>11.9</v>
      </c>
      <c r="F167" s="2" t="str">
        <f t="shared" si="5"/>
        <v>High</v>
      </c>
    </row>
    <row r="168" spans="1:6" x14ac:dyDescent="0.2">
      <c r="A168" s="2">
        <v>167</v>
      </c>
      <c r="B168" s="2">
        <v>17.899999999999999</v>
      </c>
      <c r="C168" s="2">
        <v>37.6</v>
      </c>
      <c r="D168" s="2">
        <v>21.6</v>
      </c>
      <c r="E168" s="2">
        <v>8</v>
      </c>
      <c r="F168" s="2" t="str">
        <f t="shared" si="5"/>
        <v>Low</v>
      </c>
    </row>
    <row r="169" spans="1:6" x14ac:dyDescent="0.2">
      <c r="A169" s="2">
        <v>168</v>
      </c>
      <c r="B169" s="2">
        <v>206.8</v>
      </c>
      <c r="C169" s="2">
        <v>5.2</v>
      </c>
      <c r="D169" s="2">
        <v>19.399999999999999</v>
      </c>
      <c r="E169" s="2">
        <v>12.2</v>
      </c>
      <c r="F169" s="2" t="str">
        <f t="shared" si="5"/>
        <v>High</v>
      </c>
    </row>
    <row r="170" spans="1:6" x14ac:dyDescent="0.2">
      <c r="A170" s="2">
        <v>169</v>
      </c>
      <c r="B170" s="2">
        <v>215.4</v>
      </c>
      <c r="C170" s="2">
        <v>23.6</v>
      </c>
      <c r="D170" s="2">
        <v>57.6</v>
      </c>
      <c r="E170" s="2">
        <v>17.100000000000001</v>
      </c>
      <c r="F170" s="2" t="str">
        <f t="shared" si="5"/>
        <v>High</v>
      </c>
    </row>
    <row r="171" spans="1:6" x14ac:dyDescent="0.2">
      <c r="A171" s="2">
        <v>170</v>
      </c>
      <c r="B171" s="2">
        <v>284.3</v>
      </c>
      <c r="C171" s="2">
        <v>10.6</v>
      </c>
      <c r="D171" s="2">
        <v>6.4</v>
      </c>
      <c r="E171" s="2">
        <v>15</v>
      </c>
      <c r="F171" s="2" t="str">
        <f t="shared" si="5"/>
        <v>High</v>
      </c>
    </row>
    <row r="172" spans="1:6" x14ac:dyDescent="0.2">
      <c r="A172" s="2">
        <v>171</v>
      </c>
      <c r="B172" s="2">
        <v>50</v>
      </c>
      <c r="C172" s="2">
        <v>11.6</v>
      </c>
      <c r="D172" s="2">
        <v>18.399999999999999</v>
      </c>
      <c r="E172" s="2">
        <v>8.4</v>
      </c>
      <c r="F172" s="2" t="str">
        <f t="shared" si="5"/>
        <v>Low</v>
      </c>
    </row>
    <row r="173" spans="1:6" x14ac:dyDescent="0.2">
      <c r="A173" s="2">
        <v>172</v>
      </c>
      <c r="B173" s="2">
        <v>164.5</v>
      </c>
      <c r="C173" s="2">
        <v>20.9</v>
      </c>
      <c r="D173" s="2">
        <v>47.4</v>
      </c>
      <c r="E173" s="2">
        <v>14.5</v>
      </c>
      <c r="F173" s="2" t="str">
        <f t="shared" si="5"/>
        <v>Medium</v>
      </c>
    </row>
    <row r="174" spans="1:6" x14ac:dyDescent="0.2">
      <c r="A174" s="2">
        <v>173</v>
      </c>
      <c r="B174" s="2">
        <v>19.600000000000001</v>
      </c>
      <c r="C174" s="2">
        <v>20.100000000000001</v>
      </c>
      <c r="D174" s="2">
        <v>17</v>
      </c>
      <c r="E174" s="2">
        <v>7.6</v>
      </c>
      <c r="F174" s="2" t="str">
        <f t="shared" si="5"/>
        <v>Low</v>
      </c>
    </row>
    <row r="175" spans="1:6" x14ac:dyDescent="0.2">
      <c r="A175" s="2">
        <v>174</v>
      </c>
      <c r="B175" s="2">
        <v>168.4</v>
      </c>
      <c r="C175" s="2">
        <v>7.1</v>
      </c>
      <c r="D175" s="2">
        <v>12.8</v>
      </c>
      <c r="E175" s="2">
        <v>11.7</v>
      </c>
      <c r="F175" s="2" t="str">
        <f t="shared" si="5"/>
        <v>Medium</v>
      </c>
    </row>
    <row r="176" spans="1:6" x14ac:dyDescent="0.2">
      <c r="A176" s="2">
        <v>175</v>
      </c>
      <c r="B176" s="2">
        <v>222.4</v>
      </c>
      <c r="C176" s="2">
        <v>3.4</v>
      </c>
      <c r="D176" s="2">
        <v>13.1</v>
      </c>
      <c r="E176" s="2">
        <v>11.5</v>
      </c>
      <c r="F176" s="2" t="str">
        <f t="shared" si="5"/>
        <v>High</v>
      </c>
    </row>
    <row r="177" spans="1:6" x14ac:dyDescent="0.2">
      <c r="A177" s="2">
        <v>176</v>
      </c>
      <c r="B177" s="2">
        <v>276.89999999999998</v>
      </c>
      <c r="C177" s="2">
        <v>48.9</v>
      </c>
      <c r="D177" s="2">
        <v>41.8</v>
      </c>
      <c r="E177" s="2">
        <v>27</v>
      </c>
      <c r="F177" s="2" t="str">
        <f t="shared" si="5"/>
        <v>High</v>
      </c>
    </row>
    <row r="178" spans="1:6" x14ac:dyDescent="0.2">
      <c r="A178" s="2">
        <v>177</v>
      </c>
      <c r="B178" s="2">
        <v>248.4</v>
      </c>
      <c r="C178" s="2">
        <v>30.2</v>
      </c>
      <c r="D178" s="2">
        <v>20.3</v>
      </c>
      <c r="E178" s="2">
        <v>20.2</v>
      </c>
      <c r="F178" s="2" t="str">
        <f t="shared" si="5"/>
        <v>High</v>
      </c>
    </row>
    <row r="179" spans="1:6" x14ac:dyDescent="0.2">
      <c r="A179" s="2">
        <v>178</v>
      </c>
      <c r="B179" s="2">
        <v>170.2</v>
      </c>
      <c r="C179" s="2">
        <v>7.8</v>
      </c>
      <c r="D179" s="2">
        <v>35.200000000000003</v>
      </c>
      <c r="E179" s="2">
        <v>11.7</v>
      </c>
      <c r="F179" s="2" t="str">
        <f t="shared" si="5"/>
        <v>Medium</v>
      </c>
    </row>
    <row r="180" spans="1:6" x14ac:dyDescent="0.2">
      <c r="A180" s="2">
        <v>179</v>
      </c>
      <c r="B180" s="2">
        <v>276.7</v>
      </c>
      <c r="C180" s="2">
        <v>2.2999999999999998</v>
      </c>
      <c r="D180" s="2">
        <v>23.7</v>
      </c>
      <c r="E180" s="2">
        <v>11.8</v>
      </c>
      <c r="F180" s="2" t="str">
        <f t="shared" si="5"/>
        <v>High</v>
      </c>
    </row>
    <row r="181" spans="1:6" x14ac:dyDescent="0.2">
      <c r="A181" s="2">
        <v>180</v>
      </c>
      <c r="B181" s="2">
        <v>165.6</v>
      </c>
      <c r="C181" s="2">
        <v>10</v>
      </c>
      <c r="D181" s="2">
        <v>17.600000000000001</v>
      </c>
      <c r="E181" s="2">
        <v>12.6</v>
      </c>
      <c r="F181" s="2" t="str">
        <f t="shared" si="5"/>
        <v>Medium</v>
      </c>
    </row>
    <row r="182" spans="1:6" x14ac:dyDescent="0.2">
      <c r="A182" s="2">
        <v>181</v>
      </c>
      <c r="B182" s="2">
        <v>156.6</v>
      </c>
      <c r="C182" s="2">
        <v>2.6</v>
      </c>
      <c r="D182" s="2">
        <v>8.3000000000000007</v>
      </c>
      <c r="E182" s="2">
        <v>10.5</v>
      </c>
      <c r="F182" s="2" t="str">
        <f t="shared" si="5"/>
        <v>Medium</v>
      </c>
    </row>
    <row r="183" spans="1:6" x14ac:dyDescent="0.2">
      <c r="A183" s="2">
        <v>182</v>
      </c>
      <c r="B183" s="2">
        <v>218.5</v>
      </c>
      <c r="C183" s="2">
        <v>5.4</v>
      </c>
      <c r="D183" s="2">
        <v>27.4</v>
      </c>
      <c r="E183" s="2">
        <v>12.2</v>
      </c>
      <c r="F183" s="2" t="str">
        <f t="shared" si="5"/>
        <v>High</v>
      </c>
    </row>
    <row r="184" spans="1:6" x14ac:dyDescent="0.2">
      <c r="A184" s="2">
        <v>183</v>
      </c>
      <c r="B184" s="2">
        <v>56.2</v>
      </c>
      <c r="C184" s="2">
        <v>5.7</v>
      </c>
      <c r="D184" s="2">
        <v>29.7</v>
      </c>
      <c r="E184" s="2">
        <v>8.6999999999999993</v>
      </c>
      <c r="F184" s="2" t="str">
        <f t="shared" si="5"/>
        <v>Low</v>
      </c>
    </row>
    <row r="185" spans="1:6" x14ac:dyDescent="0.2">
      <c r="A185" s="2">
        <v>184</v>
      </c>
      <c r="B185" s="2">
        <v>287.60000000000002</v>
      </c>
      <c r="C185" s="2">
        <v>43</v>
      </c>
      <c r="D185" s="2">
        <v>71.8</v>
      </c>
      <c r="E185" s="2">
        <v>26.2</v>
      </c>
      <c r="F185" s="2" t="str">
        <f t="shared" si="5"/>
        <v>High</v>
      </c>
    </row>
    <row r="186" spans="1:6" x14ac:dyDescent="0.2">
      <c r="A186" s="2">
        <v>185</v>
      </c>
      <c r="B186" s="2">
        <v>253.8</v>
      </c>
      <c r="C186" s="2">
        <v>21.3</v>
      </c>
      <c r="D186" s="2">
        <v>30</v>
      </c>
      <c r="E186" s="2">
        <v>17.600000000000001</v>
      </c>
      <c r="F186" s="2" t="str">
        <f t="shared" si="5"/>
        <v>High</v>
      </c>
    </row>
    <row r="187" spans="1:6" x14ac:dyDescent="0.2">
      <c r="A187" s="2">
        <v>186</v>
      </c>
      <c r="B187" s="2">
        <v>205</v>
      </c>
      <c r="C187" s="2">
        <v>45.1</v>
      </c>
      <c r="D187" s="2">
        <v>19.600000000000001</v>
      </c>
      <c r="E187" s="2">
        <v>22.6</v>
      </c>
      <c r="F187" s="2" t="str">
        <f t="shared" si="5"/>
        <v>High</v>
      </c>
    </row>
    <row r="188" spans="1:6" x14ac:dyDescent="0.2">
      <c r="A188" s="2">
        <v>187</v>
      </c>
      <c r="B188" s="2">
        <v>139.5</v>
      </c>
      <c r="C188" s="2">
        <v>2.1</v>
      </c>
      <c r="D188" s="2">
        <v>26.6</v>
      </c>
      <c r="E188" s="2">
        <v>10.3</v>
      </c>
      <c r="F188" s="2" t="str">
        <f t="shared" si="5"/>
        <v>Medium</v>
      </c>
    </row>
    <row r="189" spans="1:6" x14ac:dyDescent="0.2">
      <c r="A189" s="2">
        <v>188</v>
      </c>
      <c r="B189" s="2">
        <v>191.1</v>
      </c>
      <c r="C189" s="2">
        <v>28.7</v>
      </c>
      <c r="D189" s="2">
        <v>18.2</v>
      </c>
      <c r="E189" s="2">
        <v>17.3</v>
      </c>
      <c r="F189" s="2" t="str">
        <f t="shared" si="5"/>
        <v>Medium</v>
      </c>
    </row>
    <row r="190" spans="1:6" x14ac:dyDescent="0.2">
      <c r="A190" s="2">
        <v>189</v>
      </c>
      <c r="B190" s="2">
        <v>286</v>
      </c>
      <c r="C190" s="2">
        <v>13.9</v>
      </c>
      <c r="D190" s="2">
        <v>3.7</v>
      </c>
      <c r="E190" s="2">
        <v>15.9</v>
      </c>
      <c r="F190" s="2" t="str">
        <f t="shared" si="5"/>
        <v>High</v>
      </c>
    </row>
    <row r="191" spans="1:6" x14ac:dyDescent="0.2">
      <c r="A191" s="2">
        <v>190</v>
      </c>
      <c r="B191" s="2">
        <v>18.7</v>
      </c>
      <c r="C191" s="2">
        <v>12.1</v>
      </c>
      <c r="D191" s="2">
        <v>23.4</v>
      </c>
      <c r="E191" s="2">
        <v>6.7</v>
      </c>
      <c r="F191" s="2" t="str">
        <f t="shared" si="5"/>
        <v>Low</v>
      </c>
    </row>
    <row r="192" spans="1:6" x14ac:dyDescent="0.2">
      <c r="A192" s="2">
        <v>191</v>
      </c>
      <c r="B192" s="2">
        <v>39.5</v>
      </c>
      <c r="C192" s="2">
        <v>41.1</v>
      </c>
      <c r="D192" s="2">
        <v>5.8</v>
      </c>
      <c r="E192" s="2">
        <v>10.8</v>
      </c>
      <c r="F192" s="2" t="str">
        <f t="shared" si="5"/>
        <v>Low</v>
      </c>
    </row>
    <row r="193" spans="1:6" x14ac:dyDescent="0.2">
      <c r="A193" s="2">
        <v>192</v>
      </c>
      <c r="B193" s="2">
        <v>75.5</v>
      </c>
      <c r="C193" s="2">
        <v>10.8</v>
      </c>
      <c r="D193" s="2">
        <v>6</v>
      </c>
      <c r="E193" s="2">
        <v>9.9</v>
      </c>
      <c r="F193" s="2" t="str">
        <f t="shared" si="5"/>
        <v>Low</v>
      </c>
    </row>
    <row r="194" spans="1:6" x14ac:dyDescent="0.2">
      <c r="A194" s="2">
        <v>193</v>
      </c>
      <c r="B194" s="2">
        <v>17.2</v>
      </c>
      <c r="C194" s="2">
        <v>4.0999999999999996</v>
      </c>
      <c r="D194" s="2">
        <v>31.6</v>
      </c>
      <c r="E194" s="2">
        <v>5.9</v>
      </c>
      <c r="F194" s="2" t="str">
        <f t="shared" ref="F194:F201" si="6">IF(B194&gt;200,"High",IF(B194&gt;=100,"Medium","Low"))</f>
        <v>Low</v>
      </c>
    </row>
    <row r="195" spans="1:6" x14ac:dyDescent="0.2">
      <c r="A195" s="2">
        <v>194</v>
      </c>
      <c r="B195" s="2">
        <v>166.8</v>
      </c>
      <c r="C195" s="2">
        <v>42</v>
      </c>
      <c r="D195" s="2">
        <v>3.6</v>
      </c>
      <c r="E195" s="2">
        <v>19.600000000000001</v>
      </c>
      <c r="F195" s="2" t="str">
        <f t="shared" si="6"/>
        <v>Medium</v>
      </c>
    </row>
    <row r="196" spans="1:6" x14ac:dyDescent="0.2">
      <c r="A196" s="2">
        <v>195</v>
      </c>
      <c r="B196" s="2">
        <v>149.69999999999999</v>
      </c>
      <c r="C196" s="2">
        <v>35.6</v>
      </c>
      <c r="D196" s="2">
        <v>6</v>
      </c>
      <c r="E196" s="2">
        <v>17.3</v>
      </c>
      <c r="F196" s="2" t="str">
        <f t="shared" si="6"/>
        <v>Medium</v>
      </c>
    </row>
    <row r="197" spans="1:6" x14ac:dyDescent="0.2">
      <c r="A197" s="2">
        <v>196</v>
      </c>
      <c r="B197" s="2">
        <v>38.200000000000003</v>
      </c>
      <c r="C197" s="2">
        <v>3.7</v>
      </c>
      <c r="D197" s="2">
        <v>13.8</v>
      </c>
      <c r="E197" s="2">
        <v>7.6</v>
      </c>
      <c r="F197" s="2" t="str">
        <f t="shared" si="6"/>
        <v>Low</v>
      </c>
    </row>
    <row r="198" spans="1:6" x14ac:dyDescent="0.2">
      <c r="A198" s="2">
        <v>197</v>
      </c>
      <c r="B198" s="2">
        <v>94.2</v>
      </c>
      <c r="C198" s="2">
        <v>4.9000000000000004</v>
      </c>
      <c r="D198" s="2">
        <v>8.1</v>
      </c>
      <c r="E198" s="2">
        <v>9.6999999999999993</v>
      </c>
      <c r="F198" s="2" t="str">
        <f t="shared" si="6"/>
        <v>Low</v>
      </c>
    </row>
    <row r="199" spans="1:6" x14ac:dyDescent="0.2">
      <c r="A199" s="2">
        <v>198</v>
      </c>
      <c r="B199" s="2">
        <v>177</v>
      </c>
      <c r="C199" s="2">
        <v>9.3000000000000007</v>
      </c>
      <c r="D199" s="2">
        <v>6.4</v>
      </c>
      <c r="E199" s="2">
        <v>12.8</v>
      </c>
      <c r="F199" s="2" t="str">
        <f t="shared" si="6"/>
        <v>Medium</v>
      </c>
    </row>
    <row r="200" spans="1:6" x14ac:dyDescent="0.2">
      <c r="A200" s="2">
        <v>199</v>
      </c>
      <c r="B200" s="2">
        <v>283.60000000000002</v>
      </c>
      <c r="C200" s="2">
        <v>42</v>
      </c>
      <c r="D200" s="2">
        <v>66.2</v>
      </c>
      <c r="E200" s="2">
        <v>25.5</v>
      </c>
      <c r="F200" s="2" t="str">
        <f t="shared" si="6"/>
        <v>High</v>
      </c>
    </row>
    <row r="201" spans="1:6" x14ac:dyDescent="0.2">
      <c r="A201" s="2">
        <v>200</v>
      </c>
      <c r="B201" s="2">
        <v>232.1</v>
      </c>
      <c r="C201" s="2">
        <v>8.6</v>
      </c>
      <c r="D201" s="2">
        <v>8.6999999999999993</v>
      </c>
      <c r="E201" s="2">
        <v>13.4</v>
      </c>
      <c r="F201" s="2" t="str">
        <f t="shared" si="6"/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18DD-6B79-B04A-8F57-2AE526F2A0EA}">
  <dimension ref="A1:D8"/>
  <sheetViews>
    <sheetView workbookViewId="0">
      <selection activeCell="E24" sqref="E24"/>
    </sheetView>
  </sheetViews>
  <sheetFormatPr baseColWidth="10" defaultRowHeight="16" x14ac:dyDescent="0.2"/>
  <sheetData>
    <row r="1" spans="1:4" x14ac:dyDescent="0.2">
      <c r="A1" s="2" t="s">
        <v>5</v>
      </c>
      <c r="B1" s="2" t="s">
        <v>0</v>
      </c>
      <c r="C1" s="2" t="s">
        <v>1</v>
      </c>
      <c r="D1" s="2" t="s">
        <v>2</v>
      </c>
    </row>
    <row r="2" spans="1:4" x14ac:dyDescent="0.2">
      <c r="A2" s="2" t="s">
        <v>6</v>
      </c>
      <c r="B2" s="2">
        <f>AVERAGE(Advertising!B2:B201)</f>
        <v>147.04249999999999</v>
      </c>
      <c r="C2" s="2">
        <f>AVERAGE(Advertising!C2:C201)</f>
        <v>23.264000000000024</v>
      </c>
      <c r="D2" s="2">
        <f>AVERAGE(Advertising!D2:D201)</f>
        <v>30.553999999999995</v>
      </c>
    </row>
    <row r="3" spans="1:4" x14ac:dyDescent="0.2">
      <c r="A3" s="2" t="s">
        <v>7</v>
      </c>
      <c r="B3" s="2">
        <f>MEDIAN(Advertising!B2:B201)</f>
        <v>149.75</v>
      </c>
      <c r="C3" s="2">
        <f>MEDIAN(Advertising!C2:C201)</f>
        <v>22.9</v>
      </c>
      <c r="D3" s="2">
        <f>MEDIAN(Advertising!D2:D201)</f>
        <v>25.75</v>
      </c>
    </row>
    <row r="4" spans="1:4" x14ac:dyDescent="0.2">
      <c r="A4" s="2" t="s">
        <v>8</v>
      </c>
      <c r="B4" s="2">
        <f>_xlfn.STDEV.P(Advertising!B2:B201)</f>
        <v>85.639331756792714</v>
      </c>
      <c r="C4" s="2">
        <f>_xlfn.STDEV.P(Advertising!C2:C201)</f>
        <v>14.809645640595152</v>
      </c>
      <c r="D4" s="2">
        <f>_xlfn.STDEV.P(Advertising!D2:D201)</f>
        <v>21.724106057557353</v>
      </c>
    </row>
    <row r="5" spans="1:4" x14ac:dyDescent="0.2">
      <c r="A5" s="2" t="s">
        <v>9</v>
      </c>
      <c r="B5" s="2">
        <f>_xlfn.VAR.P(Advertising!B2:B201)</f>
        <v>7334.0951437500062</v>
      </c>
      <c r="C5" s="2">
        <f>_xlfn.VAR.P(Advertising!C2:C201)</f>
        <v>219.32560399999898</v>
      </c>
      <c r="D5" s="2">
        <f>_xlfn.VAR.P(Advertising!D2:D201)</f>
        <v>471.93678400000016</v>
      </c>
    </row>
    <row r="6" spans="1:4" x14ac:dyDescent="0.2">
      <c r="A6" s="2" t="s">
        <v>10</v>
      </c>
      <c r="B6" s="2">
        <f>MIN(Advertising!B2:B201)</f>
        <v>0.7</v>
      </c>
      <c r="C6" s="2">
        <f>MIN(Advertising!C2:C201)</f>
        <v>0</v>
      </c>
      <c r="D6" s="2">
        <f>MIN(Advertising!D2:D201)</f>
        <v>0.3</v>
      </c>
    </row>
    <row r="7" spans="1:4" x14ac:dyDescent="0.2">
      <c r="A7" s="2" t="s">
        <v>11</v>
      </c>
      <c r="B7" s="2">
        <f>MAX(Advertising!B2:B201)</f>
        <v>296.39999999999998</v>
      </c>
      <c r="C7" s="2">
        <f>MAX(Advertising!C2:C201)</f>
        <v>49.6</v>
      </c>
      <c r="D7" s="2">
        <f>MAX(Advertising!D2:D201)</f>
        <v>114</v>
      </c>
    </row>
    <row r="8" spans="1:4" x14ac:dyDescent="0.2">
      <c r="A8" s="2" t="s">
        <v>12</v>
      </c>
      <c r="B8" s="2">
        <f>B7-B6</f>
        <v>295.7</v>
      </c>
      <c r="C8" s="2">
        <f>C7-C6</f>
        <v>49.6</v>
      </c>
      <c r="D8" s="2">
        <f>D7-D6</f>
        <v>113.7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8B56-04DE-0A46-9D22-96A6FB296D6A}">
  <dimension ref="A1:B4"/>
  <sheetViews>
    <sheetView workbookViewId="0">
      <selection activeCell="G20" sqref="G20"/>
    </sheetView>
  </sheetViews>
  <sheetFormatPr baseColWidth="10" defaultRowHeight="16" x14ac:dyDescent="0.2"/>
  <cols>
    <col min="2" max="2" width="21.6640625" customWidth="1"/>
  </cols>
  <sheetData>
    <row r="1" spans="1:2" x14ac:dyDescent="0.2">
      <c r="A1" s="2" t="s">
        <v>13</v>
      </c>
      <c r="B1" s="2" t="s">
        <v>14</v>
      </c>
    </row>
    <row r="2" spans="1:2" x14ac:dyDescent="0.2">
      <c r="A2" s="2" t="s">
        <v>0</v>
      </c>
      <c r="B2" s="2">
        <f>CORREL(Advertising!B2:B201, Advertising!E2:E201)</f>
        <v>0.78222442486160615</v>
      </c>
    </row>
    <row r="3" spans="1:2" x14ac:dyDescent="0.2">
      <c r="A3" s="2" t="s">
        <v>1</v>
      </c>
      <c r="B3" s="2">
        <f>CORREL(Advertising!C2:C201, Advertising!E2:E201)</f>
        <v>0.5762225745710553</v>
      </c>
    </row>
    <row r="4" spans="1:2" x14ac:dyDescent="0.2">
      <c r="A4" s="2" t="s">
        <v>2</v>
      </c>
      <c r="B4" s="2">
        <f>CORREL(Advertising!D2:D201, Advertising!E2:E201)</f>
        <v>0.22829902637616525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7D23-989A-6542-AE77-C788A2C0749C}">
  <dimension ref="A1:D4"/>
  <sheetViews>
    <sheetView workbookViewId="0">
      <selection activeCell="C3" sqref="C3"/>
    </sheetView>
  </sheetViews>
  <sheetFormatPr baseColWidth="10" defaultRowHeight="16" x14ac:dyDescent="0.2"/>
  <cols>
    <col min="2" max="2" width="12" customWidth="1"/>
    <col min="3" max="3" width="12.6640625" customWidth="1"/>
    <col min="4" max="4" width="10.1640625" customWidth="1"/>
  </cols>
  <sheetData>
    <row r="1" spans="1:4" x14ac:dyDescent="0.2">
      <c r="A1" s="2" t="s">
        <v>13</v>
      </c>
      <c r="B1" s="2" t="s">
        <v>15</v>
      </c>
      <c r="C1" s="2" t="s">
        <v>16</v>
      </c>
      <c r="D1" s="2" t="s">
        <v>17</v>
      </c>
    </row>
    <row r="2" spans="1:4" x14ac:dyDescent="0.2">
      <c r="A2" s="2" t="s">
        <v>0</v>
      </c>
      <c r="B2" s="2">
        <f>SUM(Advertising!B2:B201)</f>
        <v>29408.499999999996</v>
      </c>
      <c r="C2" s="2">
        <f>SUM(Advertising!E2:E201)</f>
        <v>2804.5000000000005</v>
      </c>
      <c r="D2" s="2">
        <f>C2/B2</f>
        <v>9.5363585357974762E-2</v>
      </c>
    </row>
    <row r="3" spans="1:4" x14ac:dyDescent="0.2">
      <c r="A3" s="2" t="s">
        <v>1</v>
      </c>
      <c r="B3" s="2">
        <f>SUM(Advertising!C2:C201)</f>
        <v>4652.8000000000047</v>
      </c>
      <c r="C3" s="2">
        <f>SUM(Advertising!E2:E201)</f>
        <v>2804.5000000000005</v>
      </c>
      <c r="D3" s="2">
        <f>C3/B3</f>
        <v>0.6027553301237959</v>
      </c>
    </row>
    <row r="4" spans="1:4" x14ac:dyDescent="0.2">
      <c r="A4" s="2" t="s">
        <v>2</v>
      </c>
      <c r="B4" s="2">
        <f>SUM(Advertising!D2:D201)</f>
        <v>6110.7999999999993</v>
      </c>
      <c r="C4" s="2">
        <f>SUM(Advertising!E2:E201)</f>
        <v>2804.5000000000005</v>
      </c>
      <c r="D4" s="2">
        <f>C4/B4</f>
        <v>0.45894154611507509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CA1C-F46B-604E-9A95-728B3FBA82E3}">
  <dimension ref="A1:R42"/>
  <sheetViews>
    <sheetView tabSelected="1" workbookViewId="0">
      <selection activeCell="A3" sqref="A3:D9"/>
    </sheetView>
  </sheetViews>
  <sheetFormatPr baseColWidth="10" defaultRowHeight="16" x14ac:dyDescent="0.2"/>
  <cols>
    <col min="1" max="1" width="14" customWidth="1"/>
    <col min="2" max="2" width="27.33203125" customWidth="1"/>
    <col min="3" max="3" width="20" customWidth="1"/>
    <col min="7" max="7" width="13" bestFit="1" customWidth="1"/>
    <col min="8" max="8" width="14.6640625" bestFit="1" customWidth="1"/>
  </cols>
  <sheetData>
    <row r="1" spans="1:5" ht="22" x14ac:dyDescent="0.3">
      <c r="A1" s="5" t="s">
        <v>18</v>
      </c>
      <c r="B1" s="5" t="s">
        <v>20</v>
      </c>
      <c r="C1" s="5" t="s">
        <v>19</v>
      </c>
      <c r="D1" s="8"/>
    </row>
    <row r="2" spans="1:5" ht="22" x14ac:dyDescent="0.3">
      <c r="A2" s="6">
        <f>SUM(Advertising!E2:E201)</f>
        <v>2804.5000000000005</v>
      </c>
      <c r="B2" s="6">
        <f>SUM(Advertising!B2:B201) + SUM(Advertising!C2:C201) + SUM(Advertising!D2:D201)</f>
        <v>40172.100000000006</v>
      </c>
      <c r="C2" s="6">
        <f>AVERAGE(Advertising!E2:E201)</f>
        <v>14.022500000000003</v>
      </c>
      <c r="D2" s="8"/>
    </row>
    <row r="3" spans="1:5" ht="22" customHeight="1" x14ac:dyDescent="0.2">
      <c r="A3" s="9"/>
      <c r="B3" s="9"/>
      <c r="C3" s="9"/>
      <c r="D3" s="9"/>
    </row>
    <row r="4" spans="1:5" ht="22" customHeight="1" x14ac:dyDescent="0.2">
      <c r="A4" s="9"/>
      <c r="B4" s="9"/>
      <c r="C4" s="9"/>
      <c r="D4" s="9"/>
    </row>
    <row r="5" spans="1:5" ht="22" customHeight="1" x14ac:dyDescent="0.2">
      <c r="A5" s="9"/>
      <c r="B5" s="9"/>
      <c r="C5" s="9"/>
      <c r="D5" s="9"/>
    </row>
    <row r="6" spans="1:5" ht="22" customHeight="1" x14ac:dyDescent="0.2">
      <c r="A6" s="9"/>
      <c r="B6" s="9"/>
      <c r="C6" s="9"/>
      <c r="D6" s="9"/>
    </row>
    <row r="7" spans="1:5" ht="22" customHeight="1" x14ac:dyDescent="0.2">
      <c r="A7" s="9"/>
      <c r="B7" s="9"/>
      <c r="C7" s="9"/>
      <c r="D7" s="9"/>
    </row>
    <row r="8" spans="1:5" ht="22" customHeight="1" x14ac:dyDescent="0.2">
      <c r="A8" s="9"/>
      <c r="B8" s="9"/>
      <c r="C8" s="9"/>
      <c r="D8" s="9"/>
    </row>
    <row r="9" spans="1:5" ht="22" customHeight="1" x14ac:dyDescent="0.2">
      <c r="A9" s="9"/>
      <c r="B9" s="9"/>
      <c r="C9" s="9"/>
      <c r="D9" s="9"/>
    </row>
    <row r="10" spans="1:5" ht="22" x14ac:dyDescent="0.3">
      <c r="A10" s="5" t="s">
        <v>13</v>
      </c>
      <c r="B10" s="5" t="s">
        <v>15</v>
      </c>
      <c r="C10" s="9"/>
      <c r="D10" s="9"/>
    </row>
    <row r="11" spans="1:5" ht="22" x14ac:dyDescent="0.3">
      <c r="A11" s="7" t="s">
        <v>0</v>
      </c>
      <c r="B11" s="6">
        <f>SUM(Advertising!B2:B201)</f>
        <v>29408.499999999996</v>
      </c>
      <c r="C11" s="9"/>
      <c r="D11" s="9"/>
    </row>
    <row r="12" spans="1:5" ht="22" x14ac:dyDescent="0.3">
      <c r="A12" s="7" t="s">
        <v>1</v>
      </c>
      <c r="B12" s="6">
        <f>SUM(Advertising!C2:C201)</f>
        <v>4652.8000000000047</v>
      </c>
      <c r="C12" s="9"/>
      <c r="D12" s="9"/>
    </row>
    <row r="13" spans="1:5" ht="22" x14ac:dyDescent="0.3">
      <c r="A13" s="7" t="s">
        <v>2</v>
      </c>
      <c r="B13" s="6">
        <f>SUM(Advertising!D2:D201)</f>
        <v>6110.7999999999993</v>
      </c>
      <c r="C13" s="9"/>
      <c r="D13" s="9"/>
    </row>
    <row r="14" spans="1:5" x14ac:dyDescent="0.2">
      <c r="A14" s="8"/>
      <c r="B14" s="8"/>
      <c r="C14" s="8"/>
      <c r="D14" s="8"/>
      <c r="E14" s="8"/>
    </row>
    <row r="15" spans="1:5" x14ac:dyDescent="0.2">
      <c r="A15" s="8"/>
      <c r="B15" s="8"/>
      <c r="C15" s="8"/>
      <c r="D15" s="8"/>
      <c r="E15" s="8"/>
    </row>
    <row r="16" spans="1:5" x14ac:dyDescent="0.2">
      <c r="A16" s="8"/>
      <c r="B16" s="8"/>
      <c r="C16" s="8"/>
      <c r="D16" s="8"/>
      <c r="E16" s="8"/>
    </row>
    <row r="17" spans="1:5" x14ac:dyDescent="0.2">
      <c r="A17" s="8"/>
      <c r="B17" s="8"/>
      <c r="C17" s="8"/>
      <c r="D17" s="8"/>
      <c r="E17" s="8"/>
    </row>
    <row r="18" spans="1:5" x14ac:dyDescent="0.2">
      <c r="A18" s="8"/>
      <c r="B18" s="8"/>
      <c r="C18" s="8"/>
      <c r="D18" s="8"/>
      <c r="E18" s="8"/>
    </row>
    <row r="19" spans="1:5" x14ac:dyDescent="0.2">
      <c r="A19" s="8"/>
      <c r="B19" s="8"/>
      <c r="C19" s="8"/>
      <c r="D19" s="8"/>
      <c r="E19" s="8"/>
    </row>
    <row r="20" spans="1:5" x14ac:dyDescent="0.2">
      <c r="A20" s="8"/>
      <c r="B20" s="8"/>
      <c r="C20" s="8"/>
      <c r="D20" s="8"/>
      <c r="E20" s="8"/>
    </row>
    <row r="21" spans="1:5" x14ac:dyDescent="0.2">
      <c r="A21" s="8"/>
      <c r="B21" s="8"/>
      <c r="C21" s="8"/>
      <c r="D21" s="8"/>
      <c r="E21" s="8"/>
    </row>
    <row r="22" spans="1:5" x14ac:dyDescent="0.2">
      <c r="A22" s="8"/>
      <c r="B22" s="8"/>
      <c r="C22" s="8"/>
      <c r="D22" s="8"/>
      <c r="E22" s="8"/>
    </row>
    <row r="23" spans="1:5" x14ac:dyDescent="0.2">
      <c r="A23" s="8"/>
      <c r="B23" s="8"/>
      <c r="C23" s="8"/>
      <c r="D23" s="8"/>
      <c r="E23" s="8"/>
    </row>
    <row r="24" spans="1:5" x14ac:dyDescent="0.2">
      <c r="A24" s="8"/>
      <c r="B24" s="8"/>
      <c r="C24" s="8"/>
      <c r="D24" s="8"/>
      <c r="E24" s="8"/>
    </row>
    <row r="25" spans="1:5" x14ac:dyDescent="0.2">
      <c r="A25" s="8"/>
      <c r="B25" s="8"/>
      <c r="C25" s="8"/>
      <c r="D25" s="8"/>
      <c r="E25" s="8"/>
    </row>
    <row r="26" spans="1:5" x14ac:dyDescent="0.2">
      <c r="A26" s="8"/>
      <c r="B26" s="8"/>
      <c r="C26" s="8"/>
      <c r="D26" s="8"/>
      <c r="E26" s="8"/>
    </row>
    <row r="27" spans="1:5" x14ac:dyDescent="0.2">
      <c r="A27" s="8"/>
      <c r="B27" s="8"/>
      <c r="C27" s="8"/>
      <c r="D27" s="8"/>
      <c r="E27" s="8"/>
    </row>
    <row r="28" spans="1:5" x14ac:dyDescent="0.2">
      <c r="A28" s="8"/>
      <c r="B28" s="8"/>
      <c r="C28" s="8"/>
      <c r="D28" s="8"/>
      <c r="E28" s="8"/>
    </row>
    <row r="29" spans="1:5" x14ac:dyDescent="0.2">
      <c r="A29" s="8"/>
      <c r="B29" s="8"/>
      <c r="C29" s="8"/>
      <c r="D29" s="8"/>
      <c r="E29" s="8"/>
    </row>
    <row r="30" spans="1:5" x14ac:dyDescent="0.2">
      <c r="A30" s="8"/>
      <c r="B30" s="8"/>
      <c r="C30" s="8"/>
      <c r="D30" s="8"/>
      <c r="E30" s="8"/>
    </row>
    <row r="31" spans="1:5" x14ac:dyDescent="0.2">
      <c r="A31" s="8"/>
      <c r="B31" s="8"/>
      <c r="C31" s="8"/>
      <c r="D31" s="8"/>
      <c r="E31" s="8"/>
    </row>
    <row r="32" spans="1:5" x14ac:dyDescent="0.2">
      <c r="A32" s="8"/>
      <c r="B32" s="8"/>
      <c r="C32" s="8"/>
      <c r="D32" s="8"/>
      <c r="E32" s="8"/>
    </row>
    <row r="33" spans="1:18" x14ac:dyDescent="0.2">
      <c r="A33" s="8"/>
      <c r="B33" s="8"/>
      <c r="C33" s="8"/>
      <c r="D33" s="8"/>
      <c r="E33" s="8"/>
    </row>
    <row r="34" spans="1:18" x14ac:dyDescent="0.2">
      <c r="A34" s="8"/>
      <c r="B34" s="8"/>
      <c r="C34" s="8"/>
      <c r="D34" s="8"/>
      <c r="E34" s="8"/>
    </row>
    <row r="35" spans="1:18" x14ac:dyDescent="0.2">
      <c r="A35" s="8"/>
      <c r="B35" s="8"/>
      <c r="C35" s="8"/>
      <c r="D35" s="8"/>
      <c r="E35" s="8"/>
    </row>
    <row r="36" spans="1:18" x14ac:dyDescent="0.2">
      <c r="A36" s="8"/>
      <c r="B36" s="8"/>
      <c r="C36" s="8"/>
      <c r="D36" s="8"/>
      <c r="E36" s="8"/>
    </row>
    <row r="37" spans="1:18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x14ac:dyDescent="0.2">
      <c r="A38" s="8"/>
      <c r="B38" s="8"/>
      <c r="C38" s="8"/>
      <c r="D38" s="8"/>
      <c r="E38" s="8"/>
      <c r="F38" s="8"/>
      <c r="G38" s="3" t="s">
        <v>22</v>
      </c>
      <c r="H38" t="s">
        <v>27</v>
      </c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x14ac:dyDescent="0.2">
      <c r="A39" s="8"/>
      <c r="B39" s="8"/>
      <c r="C39" s="8"/>
      <c r="D39" s="8"/>
      <c r="E39" s="8"/>
      <c r="F39" s="8"/>
      <c r="G39" s="4" t="s">
        <v>23</v>
      </c>
      <c r="H39">
        <v>18.394029850746271</v>
      </c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x14ac:dyDescent="0.2">
      <c r="A40" s="8"/>
      <c r="B40" s="8"/>
      <c r="C40" s="8"/>
      <c r="D40" s="8"/>
      <c r="E40" s="8"/>
      <c r="F40" s="8"/>
      <c r="G40" s="4" t="s">
        <v>24</v>
      </c>
      <c r="H40">
        <v>9.2271428571428586</v>
      </c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x14ac:dyDescent="0.2">
      <c r="A41" s="8"/>
      <c r="B41" s="8"/>
      <c r="C41" s="8"/>
      <c r="D41" s="8"/>
      <c r="E41" s="8"/>
      <c r="F41" s="8"/>
      <c r="G41" s="4" t="s">
        <v>25</v>
      </c>
      <c r="H41">
        <v>14.701587301587299</v>
      </c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8" x14ac:dyDescent="0.2">
      <c r="A42" s="8"/>
      <c r="B42" s="8"/>
      <c r="C42" s="8"/>
      <c r="D42" s="8"/>
      <c r="E42" s="8"/>
      <c r="F42" s="8"/>
      <c r="G42" s="4" t="s">
        <v>26</v>
      </c>
      <c r="H42">
        <v>14.022499999999988</v>
      </c>
      <c r="I42" s="8"/>
      <c r="J42" s="8"/>
      <c r="K42" s="8"/>
      <c r="L42" s="8"/>
      <c r="M42" s="8"/>
      <c r="N42" s="8"/>
      <c r="O42" s="8"/>
      <c r="P42" s="8"/>
      <c r="Q42" s="8"/>
      <c r="R42" s="8"/>
    </row>
  </sheetData>
  <mergeCells count="8">
    <mergeCell ref="I37:R42"/>
    <mergeCell ref="G37:H37"/>
    <mergeCell ref="A42:F42"/>
    <mergeCell ref="D1:D2"/>
    <mergeCell ref="A3:D9"/>
    <mergeCell ref="C10:D13"/>
    <mergeCell ref="A14:E41"/>
    <mergeCell ref="F37:F4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AEDCA-D4D1-6E42-987F-6CEC66036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Advertising</vt:lpstr>
      <vt:lpstr>Descriptive_Statistics</vt:lpstr>
      <vt:lpstr>Correlation_Analysis</vt:lpstr>
      <vt:lpstr>ROI_Analysis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Archika</dc:creator>
  <cp:lastModifiedBy>Archika</cp:lastModifiedBy>
  <dcterms:created xsi:type="dcterms:W3CDTF">2026-02-24T16:44:11Z</dcterms:created>
  <dcterms:modified xsi:type="dcterms:W3CDTF">2026-02-25T09:42:38Z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2026-02-24T17:43:36Z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d0c47a8f-f529-4d24-aa32-cdeffcdebc2b</vt:lpwstr>
  </property>
  <property fmtid="{D5CDD505-2E9C-101B-9397-08002B2CF9AE}" pid="7" name="MSIP_Label_defa4170-0d19-0005-0004-bc88714345d2_ActionId">
    <vt:lpwstr>f1aede4b-3f97-48b1-a5ef-315094fd3f51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